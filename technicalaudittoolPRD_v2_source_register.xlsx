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Sources" sheetId="2" r:id="rId6"/>
    <sheet state="visible" name="Factors" sheetId="3" r:id="rId7"/>
    <sheet state="visible" name="Checkpoints" sheetId="4" r:id="rId8"/>
    <sheet state="visible" name="Unsourced" sheetId="5" r:id="rId9"/>
  </sheets>
  <definedNames>
    <definedName hidden="1" localSheetId="1" name="_xlnm._FilterDatabase">Sources!$A$1:$G$46</definedName>
    <definedName hidden="1" localSheetId="2" name="_xlnm._FilterDatabase">Factors!$A$1:$H$24</definedName>
    <definedName hidden="1" localSheetId="3" name="_xlnm._FilterDatabase">Checkpoints!$A$1:$K$323</definedName>
    <definedName hidden="1" localSheetId="4" name="_xlnm._FilterDatabase">Unsourced!$A$1:$E$109</definedName>
  </definedNames>
  <calcPr/>
</workbook>
</file>

<file path=xl/sharedStrings.xml><?xml version="1.0" encoding="utf-8"?>
<sst xmlns="http://schemas.openxmlformats.org/spreadsheetml/2006/main" count="4400" uniqueCount="1418">
  <si>
    <t>Ref</t>
  </si>
  <si>
    <t>Factor</t>
  </si>
  <si>
    <t>Technical SEO + LLM Visibility Audit — Source Register</t>
  </si>
  <si>
    <t>Publisher</t>
  </si>
  <si>
    <t>Document</t>
  </si>
  <si>
    <t>URL</t>
  </si>
  <si>
    <t>Companion to the Build Specification (PRD) v2.0, 22 September 2026</t>
  </si>
  <si>
    <t>Source class</t>
  </si>
  <si>
    <t>URL verified in this pass</t>
  </si>
  <si>
    <t>What it supports</t>
  </si>
  <si>
    <t>What this file is</t>
  </si>
  <si>
    <t>G1</t>
  </si>
  <si>
    <t>One row per audit checkpoint, mapped to the source that actually supports it. Four sheets: Sources (the master list with URLs), Factors (the 23 checks), Checkpoints (all 322 conditions), and Unsourced (the checkpoints with no external source).</t>
  </si>
  <si>
    <t>Read the Source class column first</t>
  </si>
  <si>
    <t>Name</t>
  </si>
  <si>
    <t>It is the point of this register. A rule backed by Google documentation and a threshold this tool invented are both legitimate — but only one of them can be presented to a client as a search-engine requirement.</t>
  </si>
  <si>
    <t>Section</t>
  </si>
  <si>
    <t>Correction: title and meta-description length</t>
  </si>
  <si>
    <t>Checkpoints</t>
  </si>
  <si>
    <t>There is no Google source for a title character limit, because Google does not specify one. Google's Title links documentation states verbatim: "While there's no limit on how long a &lt;title&gt; element can be, the title link is truncated in Google Search results as needed, typically to fit the device width." Character counts in circulation (50-60, 150, 155-160) come from Moz and Ahrefs pixel-truncation research, not from Google. They are listed here as Industry research and must never be reported to a client as a Google rule. The PRD reflects this: R-CFG-1 marks length values advisory, and the TITLE_SHORT / TITLE_LONG / METADESC_SHORT / METADESC_LONG checkpoints were removed in the v2.0 scope reduction.</t>
  </si>
  <si>
    <t>Source refs</t>
  </si>
  <si>
    <t>URL verification</t>
  </si>
  <si>
    <t>Primary reference URL</t>
  </si>
  <si>
    <t>The Verified column on the Sources sheet says whether each URL was resolved during this pass. "NOT VERIFIED" means the URL could not be reached from this environment — it is not a claim that the URL is wrong, but check it before quoting it to a client. moz.com was blocked in this session, so all three Moz entries are unverified.</t>
  </si>
  <si>
    <t>Coverage</t>
  </si>
  <si>
    <t>Google Search Central</t>
  </si>
  <si>
    <t>What the sources actually support</t>
  </si>
  <si>
    <t>How Google Interprets the robots.txt Specification</t>
  </si>
  <si>
    <t>Google — documented</t>
  </si>
  <si>
    <t>https://developers.google.com/search/docs/crawling-indexing/robots/robots_txt</t>
  </si>
  <si>
    <t>C-1.1</t>
  </si>
  <si>
    <t>Checkpoint</t>
  </si>
  <si>
    <t>robots.txt</t>
  </si>
  <si>
    <t>Condition</t>
  </si>
  <si>
    <t>SECTION 1 — CRAWL &amp; INDEXING</t>
  </si>
  <si>
    <t>Status</t>
  </si>
  <si>
    <t>Severity</t>
  </si>
  <si>
    <t>reason_code</t>
  </si>
  <si>
    <t>Reference URL</t>
  </si>
  <si>
    <t>G1, G1b, R1</t>
  </si>
  <si>
    <t>Threshold set by</t>
  </si>
  <si>
    <t>What the source supports / gap</t>
  </si>
  <si>
    <t>C-1.1-a</t>
  </si>
  <si>
    <t>Status 2xx, Content-Type text/plain (or text/*), parses, and / is allowed for Googlebot</t>
  </si>
  <si>
    <t>PASS</t>
  </si>
  <si>
    <t>—</t>
  </si>
  <si>
    <t>Standard (IETF / W3C / schema.org)</t>
  </si>
  <si>
    <t>Yes</t>
  </si>
  <si>
    <t>Directive set, group selection, longest-match, 500 KiB limit, 5-hop rule, status-code handling, per-host/protocol/port scope</t>
  </si>
  <si>
    <t>G1b</t>
  </si>
  <si>
    <t>Introduction to robots.txt</t>
  </si>
  <si>
    <t>https://developers.google.com/search/docs/crawling-indexing/robots/intro</t>
  </si>
  <si>
    <t>Inherits the factor-level source. robots.txt parsing, directive precedence and status-code handling are fully documented by Google and formalised in RFC 9309.</t>
  </si>
  <si>
    <t>C-1.1-b</t>
  </si>
  <si>
    <t>Disallow: / applies to Googlebot (or to * with no Googlebot group)</t>
  </si>
  <si>
    <t>FAIL</t>
  </si>
  <si>
    <t>CRITICAL</t>
  </si>
  <si>
    <t>ROBOTS_BLOCKS_GOOGLEBOT_SITEWIDE</t>
  </si>
  <si>
    <t>G1, G1b</t>
  </si>
  <si>
    <t>robots.txt parsing, directive precedence and status-code handling are fully documented by Google and formalised in RFC 9309.</t>
  </si>
  <si>
    <t>C-1.2</t>
  </si>
  <si>
    <t>Documented: a Disallow: / for Googlebot stops crawling of matching URLs.</t>
  </si>
  <si>
    <t>XML Sitemap: Variant Reachability</t>
  </si>
  <si>
    <t>C-1.1-c</t>
  </si>
  <si>
    <t>≥ 1 URL in the audit page set is disallowed for Googlebot</t>
  </si>
  <si>
    <t>G5, G6, G2, P1</t>
  </si>
  <si>
    <t>HIGH</t>
  </si>
  <si>
    <t>ROBOTS_BLOCKS_AUDITED_URL</t>
  </si>
  <si>
    <t>https://developers.google.com/search/docs/crawling-indexing/sitemaps/build-sitemap</t>
  </si>
  <si>
    <t>Tool policy</t>
  </si>
  <si>
    <t>What robots.txt can and cannot do; Disallow is not noindex</t>
  </si>
  <si>
    <t>G2</t>
  </si>
  <si>
    <t>Google Crawling Infrastructure</t>
  </si>
  <si>
    <t>How HTTP Status Codes Affect Google's Crawlers</t>
  </si>
  <si>
    <t>https://developers.google.com/search/docs/crawling-indexing/http-network-errors</t>
  </si>
  <si>
    <t>Vendor declaration</t>
  </si>
  <si>
    <t>C-1.1-d</t>
  </si>
  <si>
    <t>5xx / 429 / network error after retries</t>
  </si>
  <si>
    <t xml:space="preserve">ROBOTS_UNAVAILABLE — Google pauses crawling for ~12 h and falls back to a cached copy for up to 30 days; an unavailable </t>
  </si>
  <si>
    <t>2xx/3xx/4xx/5xx handling, 10-hop redirect default, 301/308 strong vs 302/303/307 weak, 404 = 410, 429/5xx behaviour, network and DNS errors</t>
  </si>
  <si>
    <t>Documented: on 5xx Google pauses crawling and may fall back to the last cached copy.</t>
  </si>
  <si>
    <t>G3</t>
  </si>
  <si>
    <t>Googlebot</t>
  </si>
  <si>
    <t>C-1.1-e</t>
  </si>
  <si>
    <t>2xx but Content-Type is text/html or the body contains &lt;html</t>
  </si>
  <si>
    <t>https://developers.google.com/search/docs/crawling-indexing/googlebot</t>
  </si>
  <si>
    <t>Industry research</t>
  </si>
  <si>
    <t>ROBOTS_IS_HTML</t>
  </si>
  <si>
    <t>Google documents the Sitemap: directive as a location source; sitemaps.org defines the root elements. The 200-on-every-variant test is tool policy built on documented status-code semantics.</t>
  </si>
  <si>
    <t>C-1.3</t>
  </si>
  <si>
    <t>C-1.1-f</t>
  </si>
  <si>
    <t>HTTP Status Codes</t>
  </si>
  <si>
    <t>404 / 410 / other 4xx (not 429)</t>
  </si>
  <si>
    <t>G2, G3, G4, R3</t>
  </si>
  <si>
    <t>ROBOTS_ABSENT_TREATED_AS_ALLOW_ALL — valid state; Google treats it as no restrictions. Emit an advisory note recommendin</t>
  </si>
  <si>
    <t>Proposed — not adopted</t>
  </si>
  <si>
    <t>Documented: a 404 for robots.txt is treated as no restrictions.</t>
  </si>
  <si>
    <t>2 MB per supported file type, 64 MB for PDFs, UA-token behaviour</t>
  </si>
  <si>
    <t>C-1.1-g</t>
  </si>
  <si>
    <t>G4</t>
  </si>
  <si>
    <t>Redirect chain &gt; th.robots_max_redirect_hops (5)</t>
  </si>
  <si>
    <t>Google's common crawlers</t>
  </si>
  <si>
    <t>WARN</t>
  </si>
  <si>
    <t>https://developers.google.com/search/docs/crawling-indexing/google-common-crawlers</t>
  </si>
  <si>
    <t>MEDIUM</t>
  </si>
  <si>
    <t>ROBOTS_REDIRECT_CHAIN</t>
  </si>
  <si>
    <t>Tool policy — no external source</t>
  </si>
  <si>
    <t>Documented</t>
  </si>
  <si>
    <t>Documented: Google follows at least five redirect hops for robots.txt.</t>
  </si>
  <si>
    <t>C-1.1-h</t>
  </si>
  <si>
    <t>Body &gt; th.robots_max_bytes (500 KiB)</t>
  </si>
  <si>
    <t>ROBOTS_OVERSIZE</t>
  </si>
  <si>
    <t>Documented: Google parses at least the first 500 KiB.</t>
  </si>
  <si>
    <t>Total checkpoints</t>
  </si>
  <si>
    <t>C-1.1-i</t>
  </si>
  <si>
    <t>≥ 1 IGNORED_MALFORMED line</t>
  </si>
  <si>
    <t>ROBOTS_MALFORMED_LINES</t>
  </si>
  <si>
    <t>15 MB default fetch size across Google's crawlers; Google-Extended as a control token with no effect on Search</t>
  </si>
  <si>
    <t>C-1.1-j</t>
  </si>
  <si>
    <t>G5</t>
  </si>
  <si>
    <t>≥ 1 UNSUPPORTED_BY_GOOGLE directive</t>
  </si>
  <si>
    <t>Build and Submit a Sitemap</t>
  </si>
  <si>
    <t>LOW</t>
  </si>
  <si>
    <t>ROBOTS_UNSUPPORTED_DIRECTIVE</t>
  </si>
  <si>
    <t>Status-code handling and crawler byte limits are documented. Soft-404 detection heuristics are tool policy.</t>
  </si>
  <si>
    <t>Thresholds set by this tool rather than by a source</t>
  </si>
  <si>
    <t>Documented: crawl-delay, host and noindex in robots.txt are unsupported by Google.</t>
  </si>
  <si>
    <t>C-1.4</t>
  </si>
  <si>
    <t>C-1.1-k</t>
  </si>
  <si>
    <t>Redirects</t>
  </si>
  <si>
    <t>Parses, allows /, but contains a Disallow matching a JS/CSS asset path referenced by sampled pages</t>
  </si>
  <si>
    <t>ROBOTS_BLOCKS_RENDER_RESOURCES</t>
  </si>
  <si>
    <t>G2, G7</t>
  </si>
  <si>
    <t>C-1.2-b</t>
  </si>
  <si>
    <t>Thresholds a source actually publishes</t>
  </si>
  <si>
    <t>No sitemap located: no SAME_DOMAIN declared entry is OPEN on any variant, neither fixed path is OPEN on any variant, no CROSS_HOST entry is OPEN, and **no** cell is INCONCLUSIVE</t>
  </si>
  <si>
    <t>Redirect semantics and the 10-hop default are documented; chain-length thresholds are tool policy.</t>
  </si>
  <si>
    <t>NO_SITEMAP_FOUND</t>
  </si>
  <si>
    <t>C-1.5</t>
  </si>
  <si>
    <t>Canonical Tags</t>
  </si>
  <si>
    <t>G7</t>
  </si>
  <si>
    <t>Rows on the Unsourced sheet</t>
  </si>
  <si>
    <t>https://developers.google.com/search/docs/crawling-indexing/consolidate-duplicate-urls</t>
  </si>
  <si>
    <t>robots.txt Sitemap: directive as a sitemap location; supported sitemap formats</t>
  </si>
  <si>
    <t>G6</t>
  </si>
  <si>
    <t>sitemaps.org</t>
  </si>
  <si>
    <t>Sitemap Protocol 0.9</t>
  </si>
  <si>
    <t>https://www.sitemaps.org/protocol.html</t>
  </si>
  <si>
    <t>Google documents the Sitemap: directive; treating absence as a HIGH finding is tool policy.</t>
  </si>
  <si>
    <t>C-1.2-c</t>
  </si>
  <si>
    <t>≥ 1 SAME_DOMAIN URL declared in robots.txt returns no 200 on any variant</t>
  </si>
  <si>
    <t>SITEMAP_UNREACHABLE — the URL the site advertises to crawlers does not return 200</t>
  </si>
  <si>
    <t>G5, G2</t>
  </si>
  <si>
    <t>A declared sitemap URL that does not return 200 cannot be consumed.</t>
  </si>
  <si>
    <t>C-1.2-d</t>
  </si>
  <si>
    <t>≥ 1 REACHABLE candidate has ≥ 1 variant cell that is NOT_OPEN</t>
  </si>
  <si>
    <t>SITEMAP_VARIANT_NOT_OPEN — evidence names every failing variant with its variant_failure</t>
  </si>
  <si>
    <t>TP</t>
  </si>
  <si>
    <t>(internal)</t>
  </si>
  <si>
    <t>Standard</t>
  </si>
  <si>
    <t>Not re-verified</t>
  </si>
  <si>
    <t>urlset / sitemapindex root elements; the robots.txt Sitemap: directive</t>
  </si>
  <si>
    <t>How to Specify a Canonical with rel=canonical and Other Methods</t>
  </si>
  <si>
    <t>Tool policy. No search engine requires a sitemap to answer on every protocol x host variant; this is an origin-consistency check.</t>
  </si>
  <si>
    <t>C-1.2-e</t>
  </si>
  <si>
    <t>No SAME_DOMAIN sitemap located, but a CROSS_HOST declared sitemap is OPEN</t>
  </si>
  <si>
    <t>Canonicalisation methods, their relative strength and the head-only rule are documented.</t>
  </si>
  <si>
    <t>SITEMAP_CROSS_HOST — the domain itself returns no 200 sitemap URL on any variant; cross-host submission is valid only wh</t>
  </si>
  <si>
    <t>C-1.6</t>
  </si>
  <si>
    <t>Meta Robots</t>
  </si>
  <si>
    <t>G8</t>
  </si>
  <si>
    <t>Documented: cross-host sitemap submission requires both hosts verified in the same Search Console property.</t>
  </si>
  <si>
    <t>https://developers.google.com/search/docs/crawling-indexing/robots-meta-tag</t>
  </si>
  <si>
    <t>C-1.2-f</t>
  </si>
  <si>
    <t>≥ 1 REACHABLE candidate, no variant cell NOT_OPEN, ≥ 1 cell INCONCLUSIVE</t>
  </si>
  <si>
    <t>NOT_TESTABLE</t>
  </si>
  <si>
    <t>SITEMAP_VARIANT_INCONCLUSIVE</t>
  </si>
  <si>
    <t>Inherits the factor-level source. Google documents the Sitemap: directive as a location source; sitemaps.org defines the root elements. The 200-on-every-variant test is tool policy built on documented status-code semantics.</t>
  </si>
  <si>
    <t>C-1.2-g</t>
  </si>
  <si>
    <t>No sitemap located, and ≥ 1 cell is INCONCLUSIVE</t>
  </si>
  <si>
    <t>SITEMAP_LOCATE_INCONCLUSIVE</t>
  </si>
  <si>
    <t>Canonicalisation methods and relative strength, head-only rule, absolute URLs, Google may choose differently</t>
  </si>
  <si>
    <t>C-1.2-h</t>
  </si>
  <si>
    <t>≥ 1 Sitemap: value classified INVALID</t>
  </si>
  <si>
    <t>Note only — does not affect status</t>
  </si>
  <si>
    <t>Robots Meta Tags, data-nosnippet, and X-Robots-Tag Specifications</t>
  </si>
  <si>
    <t>SITEMAP_DECLARATION_INVALID</t>
  </si>
  <si>
    <t>C-1.2-a</t>
  </si>
  <si>
    <t>≥ 1 REACHABLE candidate, and every cell of every REACHABLE candidate is OPEN (or NOT_APPLICABLE by variant_scope)</t>
  </si>
  <si>
    <t>C-1.3-a</t>
  </si>
  <si>
    <t>Final status 200, ≤ 1 hop, valid TLS, size &lt; 2 MB</t>
  </si>
  <si>
    <t>The robots meta tag and X-Robots-Tag directive set, resolution order and obsolete directives are documented.</t>
  </si>
  <si>
    <t>C-1.7</t>
  </si>
  <si>
    <t>Indexability</t>
  </si>
  <si>
    <t>Directive list, most-restrictive resolution, crawl-dependency of noindex, per-UA header syntax, data-nosnippet element restriction, obsolete directives</t>
  </si>
  <si>
    <t>G9</t>
  </si>
  <si>
    <t>Understand JavaScript SEO Basics</t>
  </si>
  <si>
    <t>G8, G1, G18</t>
  </si>
  <si>
    <t>https://developers.google.com/search/docs/crawling-indexing/javascript/javascript-seo-basics</t>
  </si>
  <si>
    <t>Inherits the factor-level source. Status-code handling and crawler byte limits are documented. Soft-404 detection heuristics are tool policy.</t>
  </si>
  <si>
    <t>C-1.3-b</t>
  </si>
  <si>
    <t>Final status 5xx</t>
  </si>
  <si>
    <t>Indexability is derived from documented robots and meta-robots behaviour plus Google's technical requirements.</t>
  </si>
  <si>
    <t>C-2.1</t>
  </si>
  <si>
    <t>Title Tags</t>
  </si>
  <si>
    <t>SERVER_ERROR</t>
  </si>
  <si>
    <t>SECTION 2 — ON-PAGE SEO</t>
  </si>
  <si>
    <t>G15, A1, M1</t>
  </si>
  <si>
    <t>https://developers.google.com/search/docs/appearance/title-link</t>
  </si>
  <si>
    <t>Documented 5xx handling.</t>
  </si>
  <si>
    <t>C-1.3-c</t>
  </si>
  <si>
    <t>Final status 4xx (not 404/410 for a URL that was expected to exist)</t>
  </si>
  <si>
    <t>CLIENT_ERROR</t>
  </si>
  <si>
    <t>Crawl/render/index phases, evergreen Chromium, &lt;a href&gt; link discovery, SPA soft-404 handling</t>
  </si>
  <si>
    <t>C-1.3-d</t>
  </si>
  <si>
    <t>G10</t>
  </si>
  <si>
    <t>Sampled URL returns 404/410</t>
  </si>
  <si>
    <t>Localized Versions of your Pages</t>
  </si>
  <si>
    <t>https://developers.google.com/search/docs/specialty/international/localized-versions</t>
  </si>
  <si>
    <t>PAGE_NOT_FOUND — a URL discovered on-site should not 404</t>
  </si>
  <si>
    <t>Documented: 404 and 410 receive equivalent treatment.</t>
  </si>
  <si>
    <t>C-1.3-e</t>
  </si>
  <si>
    <t>404-probe returns 2xx</t>
  </si>
  <si>
    <t>SOFT_404_HANDLING</t>
  </si>
  <si>
    <t>G2, G9</t>
  </si>
  <si>
    <t>Documented soft-404 concept; the detection heuristic is tool policy.</t>
  </si>
  <si>
    <t>C-1.3-f</t>
  </si>
  <si>
    <t>2xx page matches R-1.3-3 soft-404 heuristic</t>
  </si>
  <si>
    <t>SOFT_404_PAGE</t>
  </si>
  <si>
    <t>Documented soft-404 concept; the two-of-four heuristic is tool policy.</t>
  </si>
  <si>
    <t>C-1.3-g</t>
  </si>
  <si>
    <t>Final status 401/403</t>
  </si>
  <si>
    <t>ACCESS_RESTRICTED</t>
  </si>
  <si>
    <t>hreflang mechanisms, ISO 639-1 + ISO 3166-1 Alpha-2, no region-only codes, x-default, bidirectionality, fully-qualified URLs</t>
  </si>
  <si>
    <t>C-1.3-h</t>
  </si>
  <si>
    <t>G11</t>
  </si>
  <si>
    <t>429 after Retry-After honoured</t>
  </si>
  <si>
    <t>General Structured Data Guidelines</t>
  </si>
  <si>
    <t>https://developers.google.com/search/docs/appearance/structured-data/sd-policies</t>
  </si>
  <si>
    <t>RATE_LIMITED</t>
  </si>
  <si>
    <t>Google documents NO title length limit (see G15 verbatim quote). Any length threshold is industry convention from pixel-truncation research, not a Google rule.</t>
  </si>
  <si>
    <t>C-2.2</t>
  </si>
  <si>
    <t>Meta Descriptions</t>
  </si>
  <si>
    <t>G15b, A2, M2</t>
  </si>
  <si>
    <t>C-1.3-i</t>
  </si>
  <si>
    <t>TLS certificate invalid, expired, or hostname mismatch</t>
  </si>
  <si>
    <t>https://developers.google.com/search/docs/appearance/snippet</t>
  </si>
  <si>
    <t>TLS_INVALID</t>
  </si>
  <si>
    <t>G18, R3</t>
  </si>
  <si>
    <t>https://developers.google.com/search/docs/essentials/technical</t>
  </si>
  <si>
    <t>Visible-content requirement, image crawlability, JSON-LD recommendation, do not block structured-data pages</t>
  </si>
  <si>
    <t>G12</t>
  </si>
  <si>
    <t>Organization (Organization structured data)</t>
  </si>
  <si>
    <t>https://developers.google.com/search/docs/appearance/structured-data/organization</t>
  </si>
  <si>
    <t>HTTPS is a Google technical requirement; certificate validity is a transport standard.</t>
  </si>
  <si>
    <t>C-1.3-j</t>
  </si>
  <si>
    <t>Page reachable on http:// and does not redirect to https://</t>
  </si>
  <si>
    <t>NO_HTTPS_REDIRECT</t>
  </si>
  <si>
    <t>G18</t>
  </si>
  <si>
    <t>HTTPS is named in Google's technical requirements.</t>
  </si>
  <si>
    <t>Google documents no meta-description length limit and generates snippets primarily from page content. Length guidance is industry convention.</t>
  </si>
  <si>
    <t>C-1.3-k</t>
  </si>
  <si>
    <t>C-2.3</t>
  </si>
  <si>
    <t>Response size &gt; 2 MB</t>
  </si>
  <si>
    <t>H1 / Headings</t>
  </si>
  <si>
    <t>RESPONSE_EXCEEDS_2MB</t>
  </si>
  <si>
    <t>G18, A4</t>
  </si>
  <si>
    <t>No required properties; recommended property list; 112x112 logo minimum; homepage placement</t>
  </si>
  <si>
    <t>G13</t>
  </si>
  <si>
    <t>Product snippet structured data</t>
  </si>
  <si>
    <t>https://developers.google.com/search/docs/appearance/structured-data/product</t>
  </si>
  <si>
    <t>Documented: 2 MB per supported file type on the Googlebot page.</t>
  </si>
  <si>
    <t>C-1.3-l</t>
  </si>
  <si>
    <t>Response size &gt; 15 MB</t>
  </si>
  <si>
    <t>RESPONSE_EXCEEDS_15MB</t>
  </si>
  <si>
    <t>Google publishes no heading-structure requirement. Heading rules here are tool policy informed by extraction and accessibility practice.</t>
  </si>
  <si>
    <t>C-2.4</t>
  </si>
  <si>
    <t>Internal Links</t>
  </si>
  <si>
    <t>G9, A3, A5, M3</t>
  </si>
  <si>
    <t>Documented: 15 MB default across Google's crawlers and fetchers.</t>
  </si>
  <si>
    <t>C-1.3-m</t>
  </si>
  <si>
    <t>200 with Content-Length: 0 or empty body</t>
  </si>
  <si>
    <t>EMPTY_RESPONSE</t>
  </si>
  <si>
    <t>Single-product-page rule; name plus one of review/aggregateRating/offers; price + priceCurrency</t>
  </si>
  <si>
    <t>G15</t>
  </si>
  <si>
    <t>Influencing Title Links in Google Search</t>
  </si>
  <si>
    <t>C-1.3-n</t>
  </si>
  <si>
    <t>200 but Content-Type is not an HTML type for an HTML page</t>
  </si>
  <si>
    <t>UNEXPECTED_CONTENT_TYPE</t>
  </si>
  <si>
    <t>C-1.3-o</t>
  </si>
  <si>
    <t>3xx final (redirect loop terminated)</t>
  </si>
  <si>
    <t>REDIRECT_LOOP</t>
  </si>
  <si>
    <t>Documented redirect-loop handling.</t>
  </si>
  <si>
    <t>C-1.3-p</t>
  </si>
  <si>
    <t>Google documents that links are discovered from &lt;a href&gt;. Ratios, depth limits and anchor-quality thresholds are tool policy informed by industry research.</t>
  </si>
  <si>
    <t>200 returned but with X-Robots-Tag: noindex</t>
  </si>
  <si>
    <t>Defer to C-1.6</t>
  </si>
  <si>
    <t>C-3.1</t>
  </si>
  <si>
    <t>Structured Data</t>
  </si>
  <si>
    <t>SECTION 3 — STRUCTURED &amp; INTERNATIONAL</t>
  </si>
  <si>
    <t>G11, G12, G13, S1</t>
  </si>
  <si>
    <t>C-1.3-q</t>
  </si>
  <si>
    <t>No complete response within net.unresponsive_ms, **and** a status line was received</t>
  </si>
  <si>
    <t>PAGE_NOT_RESPONDING — reported with the observed HTTP status, elapsed_ms and stall_stage</t>
  </si>
  <si>
    <t>G2, R3</t>
  </si>
  <si>
    <t>Documented network/timeout handling; the 20 s threshold and the 30 s per-URL budget are tool policy.</t>
  </si>
  <si>
    <t>C-1.3-r</t>
  </si>
  <si>
    <t>No complete response within net.unresponsive_ms, **and** no status line was received</t>
  </si>
  <si>
    <t>VERBATIM: "While there's no limit on how long a &lt;title&gt; element can be, the title link is truncated in Google Search results as needed, typically to fit the device width." Also lists the sources Google draws title links from.</t>
  </si>
  <si>
    <t>G15b</t>
  </si>
  <si>
    <t>Control your snippets in Google Search results</t>
  </si>
  <si>
    <t>PAGE_NOT_RESPONDING — http_status null, reported with stall_stage and elapsed_ms</t>
  </si>
  <si>
    <t>Google's structured-data policies (visible-content rule, image crawlability, JSON-LD preference) and schema.org's vocabulary are authoritative. The tool's required-field lists are tool policy.</t>
  </si>
  <si>
    <t>C-1.4-a</t>
  </si>
  <si>
    <t>C-3.2</t>
  </si>
  <si>
    <t>All four origin variants converge on canonical_origin in ≤ 1 hop via 301/308; sampled pages resolve in 0 hops</t>
  </si>
  <si>
    <t>Hreflang</t>
  </si>
  <si>
    <t>Inherits the factor-level source. Redirect semantics and the 10-hop default are documented; chain-length thresholds are tool policy.</t>
  </si>
  <si>
    <t>C-1.4-b</t>
  </si>
  <si>
    <t>Redirect loop detected</t>
  </si>
  <si>
    <t>Why this is not externally sourced</t>
  </si>
  <si>
    <t>C-1.4-c</t>
  </si>
  <si>
    <t>≥ 2 origin variants return 200 without converging</t>
  </si>
  <si>
    <t>MULTIPLE_LIVE_ORIGINS</t>
  </si>
  <si>
    <t>Factor is supported by G1, but the numeric threshold in this row is set by this tool, not by the source.</t>
  </si>
  <si>
    <t>C-1.4-d</t>
  </si>
  <si>
    <t>Chain length ≥ 5</t>
  </si>
  <si>
    <t>REDIRECT_CHAIN_LONG</t>
  </si>
  <si>
    <t>Snippets generated primarily from page content; meta description is one input, not a guarantee</t>
  </si>
  <si>
    <t>G16</t>
  </si>
  <si>
    <t>hreflang syntax, reciprocity, x-default and code validity are documented.</t>
  </si>
  <si>
    <t>C-4.1</t>
  </si>
  <si>
    <t>Top ways to ensure your content performs well in Google's AI experiences</t>
  </si>
  <si>
    <t>Core Web Vitals</t>
  </si>
  <si>
    <t>SECTION 4 — PERFORMANCE</t>
  </si>
  <si>
    <t>W1, W1b, W1c, W2, W3</t>
  </si>
  <si>
    <t>https://developers.google.com/search/docs/appearance/ai-features</t>
  </si>
  <si>
    <t>https://web.dev/articles/vitals</t>
  </si>
  <si>
    <t>Tool policy. Google documents a 10-hop tolerance; warning at 2 hops is this tool's standard.</t>
  </si>
  <si>
    <t>C-1.4-e</t>
  </si>
  <si>
    <t>Chain exceeds net.max_redirect_hops (10) without resolving</t>
  </si>
  <si>
    <t>REDIRECT_HOPS_EXCEEDED</t>
  </si>
  <si>
    <t>Factor is supported by G5, but the numeric threshold in this row is set by this tool, not by the source.</t>
  </si>
  <si>
    <t>Documented: Google follows up to 10 redirect hops.</t>
  </si>
  <si>
    <t>C-1.4-f</t>
  </si>
  <si>
    <t>Chain length 2–4</t>
  </si>
  <si>
    <t>REDIRECT_CHAIN</t>
  </si>
  <si>
    <t>C-1.4-g</t>
  </si>
  <si>
    <t>https → http downgrade anywhere in a chain</t>
  </si>
  <si>
    <t>HTTPS_DOWNGRADE</t>
  </si>
  <si>
    <t>C-1.4-h</t>
  </si>
  <si>
    <t>Permanent consolidation implemented with 302/303/307</t>
  </si>
  <si>
    <t>TEMPORARY_REDIRECT_FOR_PERMANENT_MOVE</t>
  </si>
  <si>
    <t>Core Web Vitals thresholds and the p75 rule are documented by Google/web.dev.</t>
  </si>
  <si>
    <t>Documented: 301/308 are strong canonicalisation signals, 302/303/307 weak.</t>
  </si>
  <si>
    <t>C-5.1</t>
  </si>
  <si>
    <t>AI Crawler Access</t>
  </si>
  <si>
    <t>C-1.4-i</t>
  </si>
  <si>
    <t>SECTION 5 — LLM / AI ACCESS</t>
  </si>
  <si>
    <t>Factor is supported by G2, but the numeric threshold in this row is set by this tool, not by the source.</t>
  </si>
  <si>
    <t>Deep URL redirects to homepage</t>
  </si>
  <si>
    <t>V1, V2, V3, V4, G4, R1</t>
  </si>
  <si>
    <t>REDIRECT_TO_HOME</t>
  </si>
  <si>
    <t>https://platform.openai.com/docs/bots</t>
  </si>
  <si>
    <t>No additional requirements for AI Overviews / AI Mode; no AI text files or special markup needed</t>
  </si>
  <si>
    <t>Google Search Technical Requirements</t>
  </si>
  <si>
    <t>C-1.4-j</t>
  </si>
  <si>
    <t>Meta-refresh redirect used where a server redirect is possible</t>
  </si>
  <si>
    <t>META_REFRESH_REDIRECT</t>
  </si>
  <si>
    <t>Documented: meta refresh is supported but not recommended.</t>
  </si>
  <si>
    <t>C-1.4-k</t>
  </si>
  <si>
    <t>JavaScript-only redirect</t>
  </si>
  <si>
    <t>JS_ONLY_REDIRECT</t>
  </si>
  <si>
    <t>C-1.4-l</t>
  </si>
  <si>
    <t>Indexable content, robots access, HTTP 200 requirement</t>
  </si>
  <si>
    <t>AI-crawler behaviour rests on each vendor's own declaration — a statement of intent, not an independently verifiable fact.</t>
  </si>
  <si>
    <t>Redirect target returns 4xx/5xx</t>
  </si>
  <si>
    <t>G19</t>
  </si>
  <si>
    <t>C-5.2</t>
  </si>
  <si>
    <t>Content accessible with JavaScript disabled</t>
  </si>
  <si>
    <t>Site Names in Google Search</t>
  </si>
  <si>
    <t>REDIRECT_TARGET_BROKEN</t>
  </si>
  <si>
    <t>https://developers.google.com/search/docs/appearance/site-names</t>
  </si>
  <si>
    <t>Crawl/render/index behaviour and the consequences of client-only content are documented.</t>
  </si>
  <si>
    <t>C-1.4-m</t>
  </si>
  <si>
    <t>C-5.3</t>
  </si>
  <si>
    <t>Redirect target is itself noindex or canonicalised elsewhere</t>
  </si>
  <si>
    <t>llms.txt</t>
  </si>
  <si>
    <t>REDIRECT_TARGET_NONINDEXABLE</t>
  </si>
  <si>
    <t>L1, G16</t>
  </si>
  <si>
    <t>WebSite structured data and site-name resolution</t>
  </si>
  <si>
    <t>https://llmstxt.org/</t>
  </si>
  <si>
    <t>W1</t>
  </si>
  <si>
    <t>web.dev (Google)</t>
  </si>
  <si>
    <t>Web Vitals</t>
  </si>
  <si>
    <t>C-1.4-n</t>
  </si>
  <si>
    <t>RAW and RENDERED final URLs differ</t>
  </si>
  <si>
    <t>CLIENT_SIDE_REDIRECT_DIVERGENCE</t>
  </si>
  <si>
    <t>LCP 2.5 s, INP 200 ms, CLS 0.1; 75th percentile; mobile/desktop segmentation; INP replaced FID</t>
  </si>
  <si>
    <t>C-1.5-a</t>
  </si>
  <si>
    <t>W1b</t>
  </si>
  <si>
    <t>Exactly one canonical in RAW &lt;head&gt;, absolute, self-referencing, target 200</t>
  </si>
  <si>
    <t>How the Core Web Vitals metrics thresholds were defined</t>
  </si>
  <si>
    <t>https://web.dev/articles/defining-core-web-vitals-thresholds</t>
  </si>
  <si>
    <t>Factor is supported by G7, but the numeric threshold in this row is set by this tool, not by the source.</t>
  </si>
  <si>
    <t>C-1.4-o</t>
  </si>
  <si>
    <t>Location header is relative</t>
  </si>
  <si>
    <t>C-1.5-b</t>
  </si>
  <si>
    <t>&gt; 1 link[rel=canonical] in &lt;head&gt; with differing values</t>
  </si>
  <si>
    <t>MULTIPLE_CANONICALS — Google may ignore all of them</t>
  </si>
  <si>
    <t>RELATIVE_LOCATION_HEADER — permitted by RFC 7231 but a frequent source of misconfiguration</t>
  </si>
  <si>
    <t>llms.txt is a PROPOSED convention. No search engine has confirmed it as a crawl or ranking input; Google states no AI text files are needed.</t>
  </si>
  <si>
    <t>C-1.7-m</t>
  </si>
  <si>
    <t>&lt; 70% of sampled pages indexable</t>
  </si>
  <si>
    <t>C-5.4</t>
  </si>
  <si>
    <t>LOW_INDEXABLE_RATIO</t>
  </si>
  <si>
    <t>AI Instructions Page</t>
  </si>
  <si>
    <t>Factor is supported by G8, but the numeric threshold in this row is set by this tool, not by the source.</t>
  </si>
  <si>
    <t>G16, G11</t>
  </si>
  <si>
    <t>C-2.1-d</t>
  </si>
  <si>
    <t>&gt; 1 &lt;title&gt; element</t>
  </si>
  <si>
    <t>TITLE_MULTIPLE — browsers and parsers use the first; the rest are dead weight</t>
  </si>
  <si>
    <t>The rationale and methodology behind the good/needs-improvement/poor bands</t>
  </si>
  <si>
    <t>Factor is supported by G15, but the numeric threshold in this row is set by this tool, not by the source.</t>
  </si>
  <si>
    <t>W1c</t>
  </si>
  <si>
    <t>C-2.1-h</t>
  </si>
  <si>
    <t>Near-duplicate (≥ 0.9 similarity)</t>
  </si>
  <si>
    <t>Largest Contentful Paint (LCP) / Interaction to Next Paint (INP)</t>
  </si>
  <si>
    <t>TITLE_NEAR_DUPLICATE</t>
  </si>
  <si>
    <t>https://web.dev/articles/lcp</t>
  </si>
  <si>
    <t>C-2.2-d</t>
  </si>
  <si>
    <t>&gt; 1 description element</t>
  </si>
  <si>
    <t>METADESC_MULTIPLE</t>
  </si>
  <si>
    <t>Factor is supported by G15b, but the numeric threshold in this row is set by this tool, not by the source.</t>
  </si>
  <si>
    <t>C-2.3-d</t>
  </si>
  <si>
    <t>&gt; 1 h1 in the main region</t>
  </si>
  <si>
    <t>H1_MULTIPLE — valid HTML5 and not a ranking problem, but it weakens the page’s single-topic signal for extraction</t>
  </si>
  <si>
    <t>Factor is supported by G18, but the numeric threshold in this row is set by this tool, not by the source.</t>
  </si>
  <si>
    <t>C-2.3-i</t>
  </si>
  <si>
    <t>≥ 1 heading-level skip</t>
  </si>
  <si>
    <t>HEADING_LEVEL_SKIP</t>
  </si>
  <si>
    <t>Per-metric definition, measurement, and attribution</t>
  </si>
  <si>
    <t>C-2.3-k</t>
  </si>
  <si>
    <t>W2</t>
  </si>
  <si>
    <t>≥ 3 empty headings</t>
  </si>
  <si>
    <t>Chrome Developers</t>
  </si>
  <si>
    <t>HEADINGS_EMPTY_MULTIPLE</t>
  </si>
  <si>
    <t>Chrome UX Report API</t>
  </si>
  <si>
    <t>https://developer.chrome.com/docs/crux/api</t>
  </si>
  <si>
    <t>C-2.3-l</t>
  </si>
  <si>
    <t>Headings used for layout (R-2.3-7)</t>
  </si>
  <si>
    <t>HEADINGS_LAYOUT_MISUSE</t>
  </si>
  <si>
    <t>Inherits the factor-level source. Canonicalisation methods, their relative strength and the head-only rule are documented.</t>
  </si>
  <si>
    <t>C-2.4-a</t>
  </si>
  <si>
    <t>Every sampled page has ≥ 1 contextual internal link; no broken targets; generic-anchor ratio &lt; 20%</t>
  </si>
  <si>
    <t>Factor is supported by G9, but the numeric threshold in this row is set by this tool, not by the source.</t>
  </si>
  <si>
    <t>C-2.4-c</t>
  </si>
  <si>
    <t>≥ 1 contextual link target returns 4xx/5xx</t>
  </si>
  <si>
    <t>BROKEN_INTERNAL_LINK</t>
  </si>
  <si>
    <t>Documented: multiple conflicting rel=canonical values cause Google to ignore them.</t>
  </si>
  <si>
    <t>C-2.4-e</t>
  </si>
  <si>
    <t>C-1.5-c</t>
  </si>
  <si>
    <t>Generic-anchor ratio ≥ 20%</t>
  </si>
  <si>
    <t>Canonical present only in &lt;body&gt;</t>
  </si>
  <si>
    <t>GENERIC_ANCHOR_TEXT</t>
  </si>
  <si>
    <t>Factor is supported by A5, but the numeric threshold in this row is set by this tool, not by the source.</t>
  </si>
  <si>
    <t>CANONICAL_IN_BODY</t>
  </si>
  <si>
    <t>C-2.4-f</t>
  </si>
  <si>
    <t>≥ 1 empty anchor</t>
  </si>
  <si>
    <t>EMPTY_ANCHOR</t>
  </si>
  <si>
    <t>Documented: rel=canonical is only valid in &lt;head&gt;.</t>
  </si>
  <si>
    <t>C-1.5-d</t>
  </si>
  <si>
    <t>C-2.4-i</t>
  </si>
  <si>
    <t>Canonical value is relative</t>
  </si>
  <si>
    <t>&gt; 30% of internal links exist only after rendering</t>
  </si>
  <si>
    <t>LINKS_REQUIRE_JS</t>
  </si>
  <si>
    <t>CANONICAL_RELATIVE — resolvable, but Google’s guidance is to use absolute URLs</t>
  </si>
  <si>
    <t>G7, R2</t>
  </si>
  <si>
    <t>C-3.1-g</t>
  </si>
  <si>
    <t>No external body specifies an AI-instructions page. Entirely tool policy; Google explicitly states no such file is required.</t>
  </si>
  <si>
    <t>&gt; 1 Organization or WebSite node with conflicting values on one page</t>
  </si>
  <si>
    <t>C-6.1</t>
  </si>
  <si>
    <t>SCHEMA_DUPLICATE_ENTITY</t>
  </si>
  <si>
    <t>Documented recommendation to use absolute URLs.</t>
  </si>
  <si>
    <t>Factor is supported by G11, but the numeric threshold in this row is set by this tool, not by the source.</t>
  </si>
  <si>
    <t>Raw Content Availability</t>
  </si>
  <si>
    <t>Endpoint, formFactor, metric identifiers, percentiles.p75, 28-day collection period, quota</t>
  </si>
  <si>
    <t>SECTION 6 — LLM CONTENT READINESS</t>
  </si>
  <si>
    <t>W3</t>
  </si>
  <si>
    <t>Google Developers</t>
  </si>
  <si>
    <t>C-3.1-i</t>
  </si>
  <si>
    <t>Marked-up value absent from visible content (R-3.1-8)</t>
  </si>
  <si>
    <t>PageSpeed Insights API v5</t>
  </si>
  <si>
    <t>https://developers.google.com/speed/docs/insights/v5/get-started</t>
  </si>
  <si>
    <t>SCHEMA_CONTENT_MISMATCH — violates Google’s structured-data policy</t>
  </si>
  <si>
    <t>C-1.5-e</t>
  </si>
  <si>
    <t>C-3.1-j</t>
  </si>
  <si>
    <t>Raw vs rendered availability is grounded in documented rendering behaviour; extraction-quality thresholds are tool policy.</t>
  </si>
  <si>
    <t>Canonical value is empty or unparseable</t>
  </si>
  <si>
    <t>Type used on an inappropriate page (R-3.1-9)</t>
  </si>
  <si>
    <t>SCHEMA_TYPE_MISUSE</t>
  </si>
  <si>
    <t>C-6.2</t>
  </si>
  <si>
    <t>Entity Clarity</t>
  </si>
  <si>
    <t>CANONICAL_INVALID</t>
  </si>
  <si>
    <t>C-3.2-b</t>
  </si>
  <si>
    <t>G12, G11, G19</t>
  </si>
  <si>
    <t>Multilingual, annotations present, all codes valid, all self-referencing, all return links present, all targets 200 and indexable</t>
  </si>
  <si>
    <t>Factor is supported by G10, but the numeric threshold in this row is set by this tool, not by the source.</t>
  </si>
  <si>
    <t>C-3.2-d</t>
  </si>
  <si>
    <t>C-1.5-f</t>
  </si>
  <si>
    <t>Canonical target returns 4xx/5xx</t>
  </si>
  <si>
    <t>≥ 1 missing return link, where the alternate publishes its own HTML/header hreflang set and that set omits the source</t>
  </si>
  <si>
    <t>CANONICAL_TARGET_BROKEN</t>
  </si>
  <si>
    <t>HREFLANG_NO_RETURN_LINK — non-reciprocal annotations are ignored entirely · **reported under Section 1 — Crawl &amp; Indexin</t>
  </si>
  <si>
    <t>C-4.1-a</t>
  </si>
  <si>
    <t>Field data present; LCP ≤ 2500, INP ≤ 200, CLS ≤ 0.10 at p75</t>
  </si>
  <si>
    <t>Endpoint, strategy/category/locale, loadingExperience vs originLoadingExperience vs lighthouseResult</t>
  </si>
  <si>
    <t>S1</t>
  </si>
  <si>
    <t>C-1.5-g</t>
  </si>
  <si>
    <t>Factor is supported by W1, but the numeric threshold in this row is set by this tool, not by the source.</t>
  </si>
  <si>
    <t>Canonical target redirects</t>
  </si>
  <si>
    <t>schema.org</t>
  </si>
  <si>
    <t>Schema.org vocabulary</t>
  </si>
  <si>
    <t>CANONICAL_TO_REDIRECT</t>
  </si>
  <si>
    <t>https://schema.org/</t>
  </si>
  <si>
    <t>C-4.1-h</t>
  </si>
  <si>
    <t>CrUX returns 404 (record not found)</t>
  </si>
  <si>
    <t>CRUX_RECORD_NOT_FOUND — expected for low-traffic URLs, **not** an error</t>
  </si>
  <si>
    <t>C-4.1-i</t>
  </si>
  <si>
    <t>C-1.5-h</t>
  </si>
  <si>
    <t>API quota exhausted / 429</t>
  </si>
  <si>
    <t>Canonical target is noindex</t>
  </si>
  <si>
    <t>CWV_QUOTA_EXHAUSTED</t>
  </si>
  <si>
    <t>CANONICAL_TO_NOINDEX</t>
  </si>
  <si>
    <t>G7, G8</t>
  </si>
  <si>
    <t>C-4.1-n</t>
  </si>
  <si>
    <t>collectionPeriod ends &gt; 5 days before run date</t>
  </si>
  <si>
    <t>CWV_DATA_STALE</t>
  </si>
  <si>
    <t>Documented conflict between canonical and noindex signals.</t>
  </si>
  <si>
    <t>C-5.1-b</t>
  </si>
  <si>
    <t>C-1.5-i</t>
  </si>
  <si>
    <t>Organization/WebSite markup and sameAs are documented; entity-clarity scoring is tool policy.</t>
  </si>
  <si>
    <t>≥ 1 retrieval-oriented agent blocked site-wide</t>
  </si>
  <si>
    <t>Canonical target is robots-disallowed for Googlebot</t>
  </si>
  <si>
    <t>AI_RETRIEVAL_AGENT_BLOCKED</t>
  </si>
  <si>
    <t>C-6.3</t>
  </si>
  <si>
    <t>Factor is supported by V1, but the numeric threshold in this row is set by this tool, not by the source.</t>
  </si>
  <si>
    <t>Content Structure</t>
  </si>
  <si>
    <t>CANONICAL_TO_BLOCKED</t>
  </si>
  <si>
    <t>C-5.1-i</t>
  </si>
  <si>
    <t>UA probe shows a 403/404 where robots.txt allows</t>
  </si>
  <si>
    <t>AI_BLOCKED_AT_SERVER — carries the unverified-UA caveat</t>
  </si>
  <si>
    <t>Type and property definitions; property names are case-sensitive</t>
  </si>
  <si>
    <t>C-5.2-a</t>
  </si>
  <si>
    <t>R1</t>
  </si>
  <si>
    <t>text_ratio ≥ 0.90 and content_similarity ≥ 0.85 and all R-5.2-5 elements present in RAW</t>
  </si>
  <si>
    <t>IETF</t>
  </si>
  <si>
    <t>No search engine documents content-structure requirements. Every threshold here is tool policy.</t>
  </si>
  <si>
    <t>C-5.2-b</t>
  </si>
  <si>
    <t>RFC 9309 — Robots Exclusion Protocol</t>
  </si>
  <si>
    <t>text_ratio &lt; th.raw_text_ratio_fail (0.30)</t>
  </si>
  <si>
    <t>C-6.4</t>
  </si>
  <si>
    <t>CONTENT_REQUIRES_JS</t>
  </si>
  <si>
    <t>C-1.5-j</t>
  </si>
  <si>
    <t>https://www.rfc-editor.org/rfc/rfc9309.html</t>
  </si>
  <si>
    <t>Canonical loop</t>
  </si>
  <si>
    <t>Answer Extractability</t>
  </si>
  <si>
    <t>C-5.2-c</t>
  </si>
  <si>
    <t>0.30 ≤ text_ratio &lt; 0.70</t>
  </si>
  <si>
    <t>CANONICAL_LOOP</t>
  </si>
  <si>
    <t>CONTENT_PARTIALLY_REQUIRES_JS</t>
  </si>
  <si>
    <t>G16, TP</t>
  </si>
  <si>
    <t>C-5.2-d</t>
  </si>
  <si>
    <t>0.70 ≤ text_ratio &lt; 0.90</t>
  </si>
  <si>
    <t>CONTENT_MOSTLY_RAW</t>
  </si>
  <si>
    <t>C-1.5-k</t>
  </si>
  <si>
    <t>Google states no special markup is needed for AI surfaces. Extractability scoring is tool policy.</t>
  </si>
  <si>
    <t>C-5.2-e</t>
  </si>
  <si>
    <t>Canonical chain (target’s canonical is a third URL)</t>
  </si>
  <si>
    <t>SPA shell detected (R-5.2-6)</t>
  </si>
  <si>
    <t>SPA_SHELL_ONLY</t>
  </si>
  <si>
    <t>C-6.5</t>
  </si>
  <si>
    <t>CANONICAL_CHAIN</t>
  </si>
  <si>
    <t>Content Freshness</t>
  </si>
  <si>
    <t>C-5.2-i</t>
  </si>
  <si>
    <t>&gt; 30% of internal links only in RENDERED</t>
  </si>
  <si>
    <t>G11, TP</t>
  </si>
  <si>
    <t>C-5.2-k</t>
  </si>
  <si>
    <t>RAW content exceeds RENDERED (text_ratio &gt; 1.2)</t>
  </si>
  <si>
    <t>C-1.5-l</t>
  </si>
  <si>
    <t>Date properties are documented in structured data; all staleness thresholds are tool policy.</t>
  </si>
  <si>
    <t>CONTENT_REMOVED_BY_JS — content present at fetch time is stripped at render time</t>
  </si>
  <si>
    <t>Cross-canonical whose target does not reciprocate or include this URL’s content</t>
  </si>
  <si>
    <t>C-5.2-m</t>
  </si>
  <si>
    <t>cap.render_js = false</t>
  </si>
  <si>
    <t>CANONICAL_NON_RECIPROCAL</t>
  </si>
  <si>
    <t>RENDER_UNAVAILABLE</t>
  </si>
  <si>
    <t>Formal robots.txt grammar, parsing and precedence rules</t>
  </si>
  <si>
    <t>R2</t>
  </si>
  <si>
    <t>C-5.3-a</t>
  </si>
  <si>
    <t>RFC 3986 — Uniform Resource Identifier (URI)</t>
  </si>
  <si>
    <t>200, markdown, valid H1, ≥ 1 H2 link section, all sampled links resolve</t>
  </si>
  <si>
    <t>https://www.rfc-editor.org/rfc/rfc3986</t>
  </si>
  <si>
    <t>C-1.5-m</t>
  </si>
  <si>
    <t>Factor is supported by L1, but the numeric threshold in this row is set by this tool, not by the source.</t>
  </si>
  <si>
    <t>Canonical absent from both RAW and RENDERED and no Link header</t>
  </si>
  <si>
    <t>C-5.3-b</t>
  </si>
  <si>
    <t>404 / absent</t>
  </si>
  <si>
    <t>LLMS_TXT_ABSENT — optional practice; state plainly it is not required by Google</t>
  </si>
  <si>
    <t>C-5.3-c</t>
  </si>
  <si>
    <t>200 but Content-Type: text/html or an HTML body</t>
  </si>
  <si>
    <t>LLMS_TXT_IS_HTML</t>
  </si>
  <si>
    <t>C-5.3-d</t>
  </si>
  <si>
    <t>200 but no H1</t>
  </si>
  <si>
    <t>LLMS_TXT_NO_H1 — the only required element of the spec</t>
  </si>
  <si>
    <t>C-5.3-e</t>
  </si>
  <si>
    <t>200 but no H2 link sections</t>
  </si>
  <si>
    <t>LLMS_TXT_NO_LINK_SECTIONS</t>
  </si>
  <si>
    <t>C-5.3-f</t>
  </si>
  <si>
    <t>≥ 1 link returns 4xx/5xx</t>
  </si>
  <si>
    <t>LLMS_TXT_BROKEN_LINKS</t>
  </si>
  <si>
    <t>URL normalisation: scheme/host case, default ports, dot-segments, percent-encoding</t>
  </si>
  <si>
    <t>CANONICAL_ABSENT — legal; Google will choose one. Report as risk, not breakage.</t>
  </si>
  <si>
    <t>R3</t>
  </si>
  <si>
    <t>C-5.3-g</t>
  </si>
  <si>
    <t>≥ 1 link is robots-blocked for AI agents</t>
  </si>
  <si>
    <t>RFC 9110 — HTTP Semantics (supersedes RFC 7231)</t>
  </si>
  <si>
    <t>LLMS_TXT_LINKS_BLOCKED — the file advertises what the site forbids</t>
  </si>
  <si>
    <t>https://www.rfc-editor.org/rfc/rfc9110.html</t>
  </si>
  <si>
    <t>C-5.3-h</t>
  </si>
  <si>
    <t>Coverage &lt; 50% of sampled pages</t>
  </si>
  <si>
    <t>C-1.5-n</t>
  </si>
  <si>
    <t>LLMS_TXT_LOW_COVERAGE</t>
  </si>
  <si>
    <t>Present in RENDERED only</t>
  </si>
  <si>
    <t>CANONICAL_JS_INJECTED</t>
  </si>
  <si>
    <t>C-5.3-j</t>
  </si>
  <si>
    <t>200 returning the site’s 404 page</t>
  </si>
  <si>
    <t>LLMS_TXT_SOFT_404</t>
  </si>
  <si>
    <t>C-5.4-a</t>
  </si>
  <si>
    <t>C-1.5-o</t>
  </si>
  <si>
    <t>Page found, completeness ≥ 0.70, accessible, consistent with other surfaces</t>
  </si>
  <si>
    <t>RAW and RENDERED canonicals differ</t>
  </si>
  <si>
    <t>Factor is supported by G16, but the numeric threshold in this row is set by this tool, not by the source.</t>
  </si>
  <si>
    <t>CANONICAL_RAW_RENDERED_MISMATCH</t>
  </si>
  <si>
    <t>C-5.4-c</t>
  </si>
  <si>
    <t>Found, completeness &lt; 0.40</t>
  </si>
  <si>
    <t>AI_INSTRUCTIONS_PAGE_THIN</t>
  </si>
  <si>
    <t>Status-code semantics, Location header, Retry-After, conditional requests</t>
  </si>
  <si>
    <t>C-1.5-p</t>
  </si>
  <si>
    <t>R4</t>
  </si>
  <si>
    <t>HTTP Link header and HTML canonical disagree</t>
  </si>
  <si>
    <t>C-5.4-l</t>
  </si>
  <si>
    <t>RFC 6797 — HTTP Strict Transport Security</t>
  </si>
  <si>
    <t>Last-updated date older than th.freshness_stale_days</t>
  </si>
  <si>
    <t>https://www.rfc-editor.org/rfc/rfc6797</t>
  </si>
  <si>
    <t>CANONICAL_HEADER_HTML_CONFLICT</t>
  </si>
  <si>
    <t>AI_INSTRUCTIONS_STALE</t>
  </si>
  <si>
    <t>C-6.1-a</t>
  </si>
  <si>
    <t>extraction_agreement ≥ 0.80, main content ≥ th.min_words_content_page (150), semantic HTML present, encoding correct</t>
  </si>
  <si>
    <t>C-1.5-q</t>
  </si>
  <si>
    <t>Canonical differs from page URL only by protocol, www, trailing slash or case</t>
  </si>
  <si>
    <t>C-6.1-b</t>
  </si>
  <si>
    <t>CANONICAL_NORMALISATION_MISMATCH</t>
  </si>
  <si>
    <t>Main content &lt; 50 words in RAW</t>
  </si>
  <si>
    <t>RAW_CONTENT_ABSENT</t>
  </si>
  <si>
    <t>C-6.1-c</t>
  </si>
  <si>
    <t>Main content 50–149 words</t>
  </si>
  <si>
    <t>RAW_CONTENT_THIN</t>
  </si>
  <si>
    <t>C-1.5-r</t>
  </si>
  <si>
    <t>Canonical contains a fragment</t>
  </si>
  <si>
    <t>C-6.1-d</t>
  </si>
  <si>
    <t>extraction_agreement &lt; 0.50</t>
  </si>
  <si>
    <t>CANONICAL_HAS_FRAGMENT</t>
  </si>
  <si>
    <t>CONTENT_BOUNDARIES_AMBIGUOUS</t>
  </si>
  <si>
    <t>HSTS behaviour; why the auditor must not apply it when testing http:// variants</t>
  </si>
  <si>
    <t>C-6.1-e</t>
  </si>
  <si>
    <t>P1</t>
  </si>
  <si>
    <t>0.50 ≤ extraction_agreement &lt; 0.80</t>
  </si>
  <si>
    <t>Mozilla Foundation</t>
  </si>
  <si>
    <t>CONTENT_BOUNDARIES_UNCLEAR</t>
  </si>
  <si>
    <t>Public Suffix List</t>
  </si>
  <si>
    <t>https://publicsuffix.org/</t>
  </si>
  <si>
    <t>C-1.5-s</t>
  </si>
  <si>
    <t>Two distinct sampled pages declare the same canonical</t>
  </si>
  <si>
    <t>C-6.1-f</t>
  </si>
  <si>
    <t>boilerplate_ratio &gt; 0.60</t>
  </si>
  <si>
    <t>BOILERPLATE_DOMINANT</t>
  </si>
  <si>
    <t>CANONICAL_CLUSTER</t>
  </si>
  <si>
    <t>C-6.1-g</t>
  </si>
  <si>
    <t>Substantive content only inside images (R-6.1-5)</t>
  </si>
  <si>
    <t>CONTENT_IN_IMAGES</t>
  </si>
  <si>
    <t>C-1.5-t</t>
  </si>
  <si>
    <t>Canonical points off canonical_origin</t>
  </si>
  <si>
    <t>C-6.1-l</t>
  </si>
  <si>
    <t>text_to_html_ratio &lt; 0.05</t>
  </si>
  <si>
    <t>LOW_TEXT_TO_HTML_RATIO</t>
  </si>
  <si>
    <t>CANONICAL_CROSS_DOMAIN</t>
  </si>
  <si>
    <t>C-6.2-a</t>
  </si>
  <si>
    <t>Documented: cross-domain canonicals are supported and Google may disregard them.</t>
  </si>
  <si>
    <t>Consistent name across ≥ 3 sources, definitional statement present, page-level subject declared</t>
  </si>
  <si>
    <t>Factor is supported by G12, but the numeric threshold in this row is set by this tool, not by the source.</t>
  </si>
  <si>
    <t>C-1.6-a</t>
  </si>
  <si>
    <t>No indexing-restrictive directive for Googlebot from any source</t>
  </si>
  <si>
    <t>Registrable-domain (eTLD+1) computation for the C-1.2 variant set</t>
  </si>
  <si>
    <t>L1</t>
  </si>
  <si>
    <t>llmstxt.org</t>
  </si>
  <si>
    <t>The /llms.txt file</t>
  </si>
  <si>
    <t>C-6.2-g</t>
  </si>
  <si>
    <t>entity_clarity_score &lt; 0.50</t>
  </si>
  <si>
    <t>LOW_ENTITY_CLARITY (MODELLED)</t>
  </si>
  <si>
    <t>C-6.2-h</t>
  </si>
  <si>
    <t>cap.llm_judge = false</t>
  </si>
  <si>
    <t>RUBRIC_DISABLED — the deterministic findings still stand</t>
  </si>
  <si>
    <t>C-6.3-a</t>
  </si>
  <si>
    <t>≥ 2 headings, no section &gt; 400 words, chunk_viability ≥ 0.70, ≥ 1 list or table where content ≥ 300 words</t>
  </si>
  <si>
    <t>Inherits the factor-level source. No search engine documents content-structure requirements. Every threshold here is tool policy.</t>
  </si>
  <si>
    <t>C-6.3-b</t>
  </si>
  <si>
    <t>Wall of text (R-6.3-5)</t>
  </si>
  <si>
    <t>NO_CONTENT_STRUCTURE</t>
  </si>
  <si>
    <t>File location, required H1, optional blockquote, H2 link sections. NO search engine has confirmed llms.txt as a crawl or ranking input.</t>
  </si>
  <si>
    <t>A1</t>
  </si>
  <si>
    <t>Ahrefs</t>
  </si>
  <si>
    <t>C-6.3-c</t>
  </si>
  <si>
    <t>6 Important Insights About Title Tags (953,276 pages studied)</t>
  </si>
  <si>
    <t>chunk_viability &lt; 0.40</t>
  </si>
  <si>
    <t>https://ahrefs.com/blog/title-tags-study/</t>
  </si>
  <si>
    <t>Inherits the factor-level source. The robots meta tag and X-Robots-Tag directive set, resolution order and obsolete directives are documented.</t>
  </si>
  <si>
    <t>POOR_CHUNK_VIABILITY</t>
  </si>
  <si>
    <t>C-1.6-b</t>
  </si>
  <si>
    <t>Effective noindex or none for Googlebot on a page intended to rank</t>
  </si>
  <si>
    <t>C-6.3-d</t>
  </si>
  <si>
    <t>0.40 ≤ chunk_viability &lt; 0.70</t>
  </si>
  <si>
    <t>NOINDEX_PRESENT</t>
  </si>
  <si>
    <t>MODERATE_CHUNK_VIABILITY</t>
  </si>
  <si>
    <t>C-6.3-e</t>
  </si>
  <si>
    <t>≥ 1 section &gt; 400 words</t>
  </si>
  <si>
    <t>Documented directive.</t>
  </si>
  <si>
    <t>OVERLONG_SECTIONS</t>
  </si>
  <si>
    <t>C-1.6-c</t>
  </si>
  <si>
    <t>noindex present **and** URL robots-disallowed for Googlebot</t>
  </si>
  <si>
    <t>C-6.3-f</t>
  </si>
  <si>
    <t>≥ 3 paragraphs &gt; 150 words</t>
  </si>
  <si>
    <t>NOINDEX_UNREACHABLE</t>
  </si>
  <si>
    <t>OVERLONG_PARAGRAPHS</t>
  </si>
  <si>
    <t>C-6.3-g</t>
  </si>
  <si>
    <t>Only 1 heading on a page ≥ 800 words</t>
  </si>
  <si>
    <t>INSUFFICIENT_HEADINGS</t>
  </si>
  <si>
    <t>Documented: a noindex on a robots-disallowed URL is never seen, so the page can still be indexed URL-only.</t>
  </si>
  <si>
    <t>C-6.3-h</t>
  </si>
  <si>
    <t>Layout tables detected</t>
  </si>
  <si>
    <t>C-1.6-d</t>
  </si>
  <si>
    <t>LAYOUT_TABLES</t>
  </si>
  <si>
    <t>nofollow site-wide or on a hub/category page</t>
  </si>
  <si>
    <t>C-6.3-i</t>
  </si>
  <si>
    <t>NOFOLLOW_PRESENT</t>
  </si>
  <si>
    <t>Data table without &lt;th&gt;</t>
  </si>
  <si>
    <t>Empirical rewrite rate and observed title-length distribution; the basis for pixel-width rather than character-count guidance</t>
  </si>
  <si>
    <t>TABLE_NO_HEADERS</t>
  </si>
  <si>
    <t>A2</t>
  </si>
  <si>
    <t>C-6.3-j</t>
  </si>
  <si>
    <t>How Often Does Google Rewrite Meta Descriptions?</t>
  </si>
  <si>
    <t>Heading-level skips ≥ 3</t>
  </si>
  <si>
    <t>C-1.6-e</t>
  </si>
  <si>
    <t>HEADING_HIERARCHY_BROKEN</t>
  </si>
  <si>
    <t>https://ahrefs.com/blog/meta-description-study/</t>
  </si>
  <si>
    <t>RAW has noindex, RENDERED does not</t>
  </si>
  <si>
    <t>NOINDEX_REMOVED_BY_JS</t>
  </si>
  <si>
    <t>C-6.3-k</t>
  </si>
  <si>
    <t>Main content &lt; 150 words</t>
  </si>
  <si>
    <t>INSUFFICIENT_CONTENT_FOR_STRUCTURE — defer to C-6.1</t>
  </si>
  <si>
    <t>C-1.6-f</t>
  </si>
  <si>
    <t>RENDERED has noindex, RAW does not</t>
  </si>
  <si>
    <t>C-6.4-a</t>
  </si>
  <si>
    <t>NOINDEX_ADDED_BY_JS</t>
  </si>
  <si>
    <t>standalone_ratio ≥ 0.70, ≥ 1 question heading answered within 3 sentences (or a definitional sentence present), attribution present</t>
  </si>
  <si>
    <t>Measured frequency with which Google ignores the supplied meta description</t>
  </si>
  <si>
    <t>A3</t>
  </si>
  <si>
    <t>C-6.4-b</t>
  </si>
  <si>
    <t>Internal Links for SEO: An Actionable Guide</t>
  </si>
  <si>
    <t>C-1.6-g</t>
  </si>
  <si>
    <t>standalone_ratio &lt; 0.40</t>
  </si>
  <si>
    <t>https://ahrefs.com/blog/internal-links-for-seo/</t>
  </si>
  <si>
    <t>X-Robots-Tag and meta tag conflict</t>
  </si>
  <si>
    <t>CONTENT_NOT_SELF_CONTAINED</t>
  </si>
  <si>
    <t>ROBOTS_DIRECTIVE_CONFLICT — resolved to most restrictive; report both</t>
  </si>
  <si>
    <t>C-6.4-c</t>
  </si>
  <si>
    <t>0.40 ≤ standalone_ratio &lt; 0.70</t>
  </si>
  <si>
    <t>WEAK_SELF_CONTAINMENT</t>
  </si>
  <si>
    <t>C-6.4-f</t>
  </si>
  <si>
    <t>C-1.6-h</t>
  </si>
  <si>
    <t>Factual density &lt; 0.10 on a page making factual claims</t>
  </si>
  <si>
    <t>nosnippet present</t>
  </si>
  <si>
    <t>LOW_FACTUAL_DENSITY</t>
  </si>
  <si>
    <t>C-6.4-h</t>
  </si>
  <si>
    <t>NOSNIPPET_PRESENT — suppresses search snippets and blocks use as direct input to AI Overviews and AI Mode</t>
  </si>
  <si>
    <t>≥ 3 throat-clearing or deferring answer openings</t>
  </si>
  <si>
    <t>ANSWER_ANTIPATTERNS</t>
  </si>
  <si>
    <t>Internal-link practice: contextual vs boilerplate links, orphan pages, click depth</t>
  </si>
  <si>
    <t>C-6.4-i</t>
  </si>
  <si>
    <t>A4</t>
  </si>
  <si>
    <t>extractability_score &lt; 0.50</t>
  </si>
  <si>
    <t>C-1.6-i</t>
  </si>
  <si>
    <t>The most common technical SEO issues (site audit study)</t>
  </si>
  <si>
    <t>max-snippet:0</t>
  </si>
  <si>
    <t>LOW_EXTRACTABILITY (MODELLED)</t>
  </si>
  <si>
    <t>https://ahrefs.com/blog/site-audit-study/</t>
  </si>
  <si>
    <t>MAX_SNIPPET_ZERO — equivalent to nosnippet in effect</t>
  </si>
  <si>
    <t>C-6.4-j</t>
  </si>
  <si>
    <t>Content &lt; 150 words</t>
  </si>
  <si>
    <t>INSUFFICIENT_CONTENT</t>
  </si>
  <si>
    <t>C-6.4-k</t>
  </si>
  <si>
    <t>C-1.6-j</t>
  </si>
  <si>
    <t>RUBRIC_DISABLED</t>
  </si>
  <si>
    <t>max-image-preview:none</t>
  </si>
  <si>
    <t>NO_IMAGE_PREVIEW</t>
  </si>
  <si>
    <t>C-6.5-a</t>
  </si>
  <si>
    <t>≥ 1 date signal present, valid, consistent across sources, and content_age_days within threshold for the page type</t>
  </si>
  <si>
    <t>C-6.5-f</t>
  </si>
  <si>
    <t>C-1.6-k</t>
  </si>
  <si>
    <t>Build-timestamp pattern (R-6.5-4)</t>
  </si>
  <si>
    <t>unavailable_after in the past</t>
  </si>
  <si>
    <t>DATEMODIFIED_IS_BUILD_TIMESTAMP — the freshness signal carries no information</t>
  </si>
  <si>
    <t>Prevalence data for the defect classes this tool detects — useful for severity calibration</t>
  </si>
  <si>
    <t>UNAVAILABLE_AFTER_EXPIRED</t>
  </si>
  <si>
    <t>A5</t>
  </si>
  <si>
    <t>C-6.5-g</t>
  </si>
  <si>
    <t>content_age_days &gt; th.freshness_stale_days (540) on a date-sensitive page</t>
  </si>
  <si>
    <t>What Is Anchor Text?</t>
  </si>
  <si>
    <t>CONTENT_STALE</t>
  </si>
  <si>
    <t>https://ahrefs.com/blog/anchor-text/</t>
  </si>
  <si>
    <t>Tool policy. No search engine publishes a staleness threshold; 540 days is this tool's standard.</t>
  </si>
  <si>
    <t>C-6.5-h</t>
  </si>
  <si>
    <t>C-1.6-l</t>
  </si>
  <si>
    <t>content_age_days &gt; th.freshness_warn_days (365) on a date-sensitive page</t>
  </si>
  <si>
    <t>Meta robots in &lt;body&gt;</t>
  </si>
  <si>
    <t>CONTENT_AGEING</t>
  </si>
  <si>
    <t>Tool policy. 365 days is this tool's standard.</t>
  </si>
  <si>
    <t>META_ROBOTS_IN_BODY — ignored by Google</t>
  </si>
  <si>
    <t>C-6.5-i</t>
  </si>
  <si>
    <t>Title/heading contains a year ≥ 2 years old</t>
  </si>
  <si>
    <t>SELF_REPORTED_STALENESS</t>
  </si>
  <si>
    <t>C-6.5-j</t>
  </si>
  <si>
    <t>Median sampled content_age_days &gt; th.freshness_stale_days</t>
  </si>
  <si>
    <t>C-1.6-m</t>
  </si>
  <si>
    <t>SITE_CONTENT_STALE</t>
  </si>
  <si>
    <t>Multiple meta name="robots" with conflicting values</t>
  </si>
  <si>
    <t>MULTIPLE_META_ROBOTS — most restrictive applies</t>
  </si>
  <si>
    <t>C-6.5-l</t>
  </si>
  <si>
    <t>Descriptive vs generic anchor text</t>
  </si>
  <si>
    <t>≥ 1 page claim contradicted by more recent information (R-6.5-10)</t>
  </si>
  <si>
    <t>M1</t>
  </si>
  <si>
    <t>Moz</t>
  </si>
  <si>
    <t>CONTENT_FACTUALLY_OUTDATED (MODELLED) — evidence carries the quote, the one-sentence correction and the reference URL</t>
  </si>
  <si>
    <t>Title Tag — Learn SEO</t>
  </si>
  <si>
    <t>C-1.6-n</t>
  </si>
  <si>
    <t>https://moz.com/learn/seo/title-tag</t>
  </si>
  <si>
    <t>data-nosnippet on an unsupported element</t>
  </si>
  <si>
    <t>C-6.5-m</t>
  </si>
  <si>
    <t>DATA_NOSNIPPET_INVALID_ELEMENT</t>
  </si>
  <si>
    <t>RUBRIC_DISABLED — the currency check did not run</t>
  </si>
  <si>
    <t>Documented: data-nosnippet is valid only on div, span and section.</t>
  </si>
  <si>
    <t>C-1.7-a</t>
  </si>
  <si>
    <t>indexability_state = INDEXABLE</t>
  </si>
  <si>
    <t>Inherits the factor-level source. Indexability is derived from documented robots and meta-robots behaviour plus Google's technical requirements.</t>
  </si>
  <si>
    <t>C-1.7-b</t>
  </si>
  <si>
    <t>BLOCKED_ROBOTS</t>
  </si>
  <si>
    <t>NOT_INDEXABLE_ROBOTS</t>
  </si>
  <si>
    <t>NOT VERIFIED — moz.com blocked in this session</t>
  </si>
  <si>
    <t>C-1.7-c</t>
  </si>
  <si>
    <t>Widely-cited ~50-60 character / ~600px display guidance. Industry convention, NOT a Google specification.</t>
  </si>
  <si>
    <t>NOINDEX</t>
  </si>
  <si>
    <t>M2</t>
  </si>
  <si>
    <t>NOT_INDEXABLE_NOINDEX</t>
  </si>
  <si>
    <t>Meta Description — Learn SEO</t>
  </si>
  <si>
    <t>https://moz.com/learn/seo/meta-description</t>
  </si>
  <si>
    <t>C-1.7-d</t>
  </si>
  <si>
    <t>NON_200</t>
  </si>
  <si>
    <t>NOT_INDEXABLE_STATUS</t>
  </si>
  <si>
    <t>C-1.7-e</t>
  </si>
  <si>
    <t>SOFT_404</t>
  </si>
  <si>
    <t>NOT_INDEXABLE_SOFT_404</t>
  </si>
  <si>
    <t>Widely-cited ~155-160 character guidance. Industry convention, NOT a Google specification.</t>
  </si>
  <si>
    <t>M3</t>
  </si>
  <si>
    <t>Internal Links — Learn SEO</t>
  </si>
  <si>
    <t>C-1.7-f</t>
  </si>
  <si>
    <t>https://moz.com/learn/seo/internal-link</t>
  </si>
  <si>
    <t>CANONICALISED_AWAY on a page that should rank</t>
  </si>
  <si>
    <t>NOT_INDEXABLE_CANONICAL</t>
  </si>
  <si>
    <t>C-1.7-g</t>
  </si>
  <si>
    <t>CANONICALISED_AWAY by design (duplicate/facet)</t>
  </si>
  <si>
    <t>CANONICALISED_BY_DESIGN</t>
  </si>
  <si>
    <t>C-1.7-h</t>
  </si>
  <si>
    <t>NO_CONTENT</t>
  </si>
  <si>
    <t>NOT_INDEXABLE_EMPTY</t>
  </si>
  <si>
    <t>C-1.7-i</t>
  </si>
  <si>
    <t>CONFLICTED</t>
  </si>
  <si>
    <t>Internal link equity and crawl-path reasoning</t>
  </si>
  <si>
    <t>V1</t>
  </si>
  <si>
    <t>INDEXABILITY_CONFLICT</t>
  </si>
  <si>
    <t>OpenAI</t>
  </si>
  <si>
    <t>OpenAI bots (GPTBot, OAI-SearchBot, ChatGPT-User)</t>
  </si>
  <si>
    <t>C-1.7-j</t>
  </si>
  <si>
    <t>INDEXABLE but render_dependent = true</t>
  </si>
  <si>
    <t>INDEXABLE_ONLY_AFTER_RENDER</t>
  </si>
  <si>
    <t>C-1.7-k</t>
  </si>
  <si>
    <t>Computed state and GSC state disagree</t>
  </si>
  <si>
    <t>GSC_STATE_DIVERGENCE</t>
  </si>
  <si>
    <t>C-1.7-l</t>
  </si>
  <si>
    <t>Homepage not indexable</t>
  </si>
  <si>
    <t>HOMEPAGE_NOT_INDEXABLE — escalate to run headline</t>
  </si>
  <si>
    <t>Vendor's own statement of UA tokens and robots.txt behaviour, including the user-initiated caveat</t>
  </si>
  <si>
    <t>V2</t>
  </si>
  <si>
    <t>Anthropic</t>
  </si>
  <si>
    <t>Anthropic crawler support article (ClaudeBot, Claude-SearchBot, Claude-User)</t>
  </si>
  <si>
    <t>https://support.claude.com/en/articles/8896518</t>
  </si>
  <si>
    <t>C-2.1-a</t>
  </si>
  <si>
    <t>Exactly one &lt;title&gt; in RAW &lt;head&gt;, non-empty, unique within the sample, no stuffing</t>
  </si>
  <si>
    <t>Vendor's own statement that robots.txt is respected; bots.json IP ranges</t>
  </si>
  <si>
    <t>V3</t>
  </si>
  <si>
    <t>Perplexity</t>
  </si>
  <si>
    <t>PerplexityBot / Perplexity-User</t>
  </si>
  <si>
    <t>https://docs.perplexity.ai/guides/bots</t>
  </si>
  <si>
    <t>Inherits the factor-level source. Google documents NO title length limit (see G15 verbatim quote). Any length threshold is industry convention from pixel-truncation research, not a Google rule.</t>
  </si>
  <si>
    <t>C-2.1-b</t>
  </si>
  <si>
    <t>No &lt;title&gt; in RAW or RENDERED</t>
  </si>
  <si>
    <t>TITLE_MISSING</t>
  </si>
  <si>
    <t>Vendor states PerplexityBot respects robots.txt and Perplexity-User generally ignores it</t>
  </si>
  <si>
    <t>V4</t>
  </si>
  <si>
    <t>Apple</t>
  </si>
  <si>
    <t>About Applebot</t>
  </si>
  <si>
    <t>https://support.apple.com/en-us/119829</t>
  </si>
  <si>
    <t>Google documents &lt;title&gt; as the primary title-link source.</t>
  </si>
  <si>
    <t>C-2.1-c</t>
  </si>
  <si>
    <t>&lt;title&gt; empty or whitespace-only</t>
  </si>
  <si>
    <t>TITLE_EMPTY</t>
  </si>
  <si>
    <t>Applebot-Extended is a control token, does not crawl, does not affect search visibility</t>
  </si>
  <si>
    <t>C1</t>
  </si>
  <si>
    <t>Common Crawl</t>
  </si>
  <si>
    <t>CCBot and the CDX index</t>
  </si>
  <si>
    <t>https://commoncrawl.org/ccbot</t>
  </si>
  <si>
    <t>C-2.1-e</t>
  </si>
  <si>
    <t>TITLE_JS_INJECTED</t>
  </si>
  <si>
    <t>Third-party corpus</t>
  </si>
  <si>
    <t>CCBot identity and the CDX index used as a URL-discovery fallback (B-A1-4)</t>
  </si>
  <si>
    <t>Wellows</t>
  </si>
  <si>
    <t>Tool policy — this PRD</t>
  </si>
  <si>
    <t>Documented rendering dependency.</t>
  </si>
  <si>
    <t>C-2.1-f</t>
  </si>
  <si>
    <t>RAW and RENDERED titles differ</t>
  </si>
  <si>
    <t>n/a</t>
  </si>
  <si>
    <t>A threshold or rule set by this tool. No external body documents it. Stated as policy, never presented to a client as a search-engine requirement.</t>
  </si>
  <si>
    <t>TITLE_RAW_RENDERED_MISMATCH</t>
  </si>
  <si>
    <t>C-2.1-g</t>
  </si>
  <si>
    <t>Exact duplicate of another sampled page’s title</t>
  </si>
  <si>
    <t>TITLE_DUPLICATE</t>
  </si>
  <si>
    <t>G15, A1</t>
  </si>
  <si>
    <t>Duplicate titles are an industry-recognised issue; no Google threshold exists.</t>
  </si>
  <si>
    <t>C-2.1-i</t>
  </si>
  <si>
    <t>Boilerplate/template default</t>
  </si>
  <si>
    <t>TITLE_BOILERPLATE</t>
  </si>
  <si>
    <t>C-2.1-j</t>
  </si>
  <si>
    <t>Keyword stuffing detected</t>
  </si>
  <si>
    <t>TITLE_KEYWORD_STUFFED</t>
  </si>
  <si>
    <t>C-2.1-k</t>
  </si>
  <si>
    <t>&lt;title&gt; outside &lt;head&gt;</t>
  </si>
  <si>
    <t>TITLE_OUTSIDE_HEAD</t>
  </si>
  <si>
    <t>C-2.1-l</t>
  </si>
  <si>
    <t>Title identical to &lt;h1&gt; **and** both are the bare brand name</t>
  </si>
  <si>
    <t>TITLE_H1_BRAND_ONLY</t>
  </si>
  <si>
    <t>C-2.1-m</t>
  </si>
  <si>
    <t>Title contains an unresolved template placeholder ({{, %s, [title], %%)</t>
  </si>
  <si>
    <t>TITLE_PLACEHOLDER_LEAK</t>
  </si>
  <si>
    <t>C-2.2-a</t>
  </si>
  <si>
    <t>Exactly one, non-empty, unique in sample, not a keyword list</t>
  </si>
  <si>
    <t>Inherits the factor-level source. Google documents no meta-description length limit and generates snippets primarily from page content. Length guidance is industry convention.</t>
  </si>
  <si>
    <t>C-2.2-b</t>
  </si>
  <si>
    <t>Missing from RAW and RENDERED</t>
  </si>
  <si>
    <t>METADESC_MISSING — **not** **FAIL**: Google generates snippets from page content and often ignores the tag</t>
  </si>
  <si>
    <t>Documented: the meta description is one snippet input; its absence is not a defect Google names.</t>
  </si>
  <si>
    <t>C-2.2-c</t>
  </si>
  <si>
    <t>Empty / whitespace-only</t>
  </si>
  <si>
    <t>METADESC_EMPTY</t>
  </si>
  <si>
    <t>C-2.2-e</t>
  </si>
  <si>
    <t>Exact duplicate across sampled pages</t>
  </si>
  <si>
    <t>METADESC_DUPLICATE</t>
  </si>
  <si>
    <t>G15b, A2</t>
  </si>
  <si>
    <t>Industry convention; Google documents no uniqueness requirement.</t>
  </si>
  <si>
    <t>C-2.2-f</t>
  </si>
  <si>
    <t>Near-duplicate / templated</t>
  </si>
  <si>
    <t>METADESC_TEMPLATED</t>
  </si>
  <si>
    <t>C-2.2-g</t>
  </si>
  <si>
    <t>Keyword-list shape</t>
  </si>
  <si>
    <t>METADESC_KEYWORD_LIST</t>
  </si>
  <si>
    <t>C-2.2-h</t>
  </si>
  <si>
    <t>METADESC_JS_INJECTED</t>
  </si>
  <si>
    <t>C-2.2-i</t>
  </si>
  <si>
    <t>RAW/RENDERED mismatch</t>
  </si>
  <si>
    <t>METADESC_RAW_RENDERED_MISMATCH</t>
  </si>
  <si>
    <t>C-2.2-j</t>
  </si>
  <si>
    <t>Contains an unresolved placeholder</t>
  </si>
  <si>
    <t>METADESC_PLACEHOLDER_LEAK</t>
  </si>
  <si>
    <t>C-2.2-k</t>
  </si>
  <si>
    <t>Identical to &lt;title&gt;</t>
  </si>
  <si>
    <t>METADESC_EQUALS_TITLE</t>
  </si>
  <si>
    <t>C-2.2-l</t>
  </si>
  <si>
    <t>Page carries nosnippet or max-snippet:0</t>
  </si>
  <si>
    <t>NOT_APPLICABLE</t>
  </si>
  <si>
    <t>SNIPPET_SUPPRESSED — the description cannot be used; cross-reference C-1.6</t>
  </si>
  <si>
    <t>C-2.3-a</t>
  </si>
  <si>
    <t>Exactly one visible h1 in the main region, non-empty, no level skips, unique in sample</t>
  </si>
  <si>
    <t>Inherits the factor-level source. Google publishes no heading-structure requirement. Heading rules here are tool policy informed by extraction and accessibility practice.</t>
  </si>
  <si>
    <t>C-2.3-b</t>
  </si>
  <si>
    <t>No h1 in RAW or RENDERED</t>
  </si>
  <si>
    <t>H1_MISSING</t>
  </si>
  <si>
    <t>C-2.3-c</t>
  </si>
  <si>
    <t>h1 present but empty</t>
  </si>
  <si>
    <t>H1_EMPTY</t>
  </si>
  <si>
    <t>C-2.3-e</t>
  </si>
  <si>
    <t>Only h1 is visually hidden</t>
  </si>
  <si>
    <t>H1_HIDDEN</t>
  </si>
  <si>
    <t>C-2.3-f</t>
  </si>
  <si>
    <t>h1 present in RENDERED only</t>
  </si>
  <si>
    <t>H1_JS_INJECTED</t>
  </si>
  <si>
    <t>C-2.3-g</t>
  </si>
  <si>
    <t>RAW/RENDERED h1 text differs</t>
  </si>
  <si>
    <t>H1_RAW_RENDERED_MISMATCH</t>
  </si>
  <si>
    <t>C-2.3-h</t>
  </si>
  <si>
    <t>Duplicate h1 across sampled pages</t>
  </si>
  <si>
    <t>H1_DUPLICATE</t>
  </si>
  <si>
    <t>C-2.3-j</t>
  </si>
  <si>
    <t>Document starts with h2+ before any h1</t>
  </si>
  <si>
    <t>HEADING_STARTS_BELOW_H1</t>
  </si>
  <si>
    <t>C-2.3-m</t>
  </si>
  <si>
    <t>Only h1 is the site name/logo</t>
  </si>
  <si>
    <t>H1_IS_SITE_NAME</t>
  </si>
  <si>
    <t>C-2.3-n</t>
  </si>
  <si>
    <t>Zero headings of any level</t>
  </si>
  <si>
    <t>NO_HEADINGS — cross-reference C-6.3</t>
  </si>
  <si>
    <t>C-2.3-o</t>
  </si>
  <si>
    <t>h1 contains an unresolved placeholder</t>
  </si>
  <si>
    <t>H1_PLACEHOLDER_LEAK</t>
  </si>
  <si>
    <t>Inherits the factor-level source. Google documents that links are discovered from &lt;a href&gt;. Ratios, depth limits and anchor-quality thresholds are tool policy informed by industry research.</t>
  </si>
  <si>
    <t>C-2.4-b</t>
  </si>
  <si>
    <t>site_shape = single_page</t>
  </si>
  <si>
    <t>SINGLE_PAGE_SITE</t>
  </si>
  <si>
    <t>G9, A4</t>
  </si>
  <si>
    <t>Link discovery is documented; broken-link severity is tool policy.</t>
  </si>
  <si>
    <t>C-2.4-d</t>
  </si>
  <si>
    <t>A sampled page (other than the homepage) has in-degree 0 within the sample</t>
  </si>
  <si>
    <t>ORPHAN_IN_SAMPLE — sample-scoped, **never** a claim about the whole site</t>
  </si>
  <si>
    <t>Industry practice; explicitly scoped to the sample by this tool.</t>
  </si>
  <si>
    <t>A5, M3</t>
  </si>
  <si>
    <t>Industry research. Google documents no generic-anchor threshold; the 20% ratio is tool policy.</t>
  </si>
  <si>
    <t>C-2.4-g</t>
  </si>
  <si>
    <t>Internal rel="nofollow" present</t>
  </si>
  <si>
    <t>INTERNAL_NOFOLLOW</t>
  </si>
  <si>
    <t>C-2.4-h</t>
  </si>
  <si>
    <t>A sampled page has 0 contextual internal links</t>
  </si>
  <si>
    <t>NO_CONTEXTUAL_LINKS</t>
  </si>
  <si>
    <t>Documented rendering dependency for link discovery.</t>
  </si>
  <si>
    <t>C-2.4-j</t>
  </si>
  <si>
    <t>Navigation exists only as non-anchor elements</t>
  </si>
  <si>
    <t>NON_ANCHOR_NAVIGATION — Google discovers links only from &lt;a href&gt;</t>
  </si>
  <si>
    <t>Documented: Google discovers links only from &lt;a href&gt; with an href attribute.</t>
  </si>
  <si>
    <t>C-3.1-a</t>
  </si>
  <si>
    <t>All in-scope types expected for this page_type are present, parse, have required fields, resolved @ids, and align with visible content</t>
  </si>
  <si>
    <t>Inherits the factor-level source. Google's structured-data policies (visible-content rule, image crawlability, JSON-LD preference) and schema.org's vocabulary are authoritative. The tool's required-field lists are tool policy.</t>
  </si>
  <si>
    <t>C-3.1-b</t>
  </si>
  <si>
    <t>No structured data of any kind on the page</t>
  </si>
  <si>
    <t>NO_STRUCTURED_DATA</t>
  </si>
  <si>
    <t>Documented guidelines; treating absence as HIGH is tool policy.</t>
  </si>
  <si>
    <t>C-3.1-c</t>
  </si>
  <si>
    <t>JSON-LD block fails to parse</t>
  </si>
  <si>
    <t>JSONLD_PARSE_ERROR</t>
  </si>
  <si>
    <t>G11, S1</t>
  </si>
  <si>
    <t>Documented: invalid markup cannot be used.</t>
  </si>
  <si>
    <t>C-3.1-d</t>
  </si>
  <si>
    <t>An in-scope type is missing a tool-required field</t>
  </si>
  <si>
    <t>SCHEMA_REQUIRED_FIELD_MISSING</t>
  </si>
  <si>
    <t>Required-property lists come from Google's per-type docs; this tool's Organization required list is TOOL POLICY because Google documents no required properties for Organization.</t>
  </si>
  <si>
    <t>C-3.1-e</t>
  </si>
  <si>
    <t>@id reference does not resolve within the page graph</t>
  </si>
  <si>
    <t>SCHEMA_DANGLING_REFERENCE</t>
  </si>
  <si>
    <t>@id graph semantics; treating a dangling reference as a FAIL is tool policy.</t>
  </si>
  <si>
    <t>C-3.1-f</t>
  </si>
  <si>
    <t>S1/S2 @id differs across sampled pages</t>
  </si>
  <si>
    <t>SCHEMA_UNSTABLE_ENTITY_ID</t>
  </si>
  <si>
    <t>C-3.1-h</t>
  </si>
  <si>
    <t>S3 url ≠ page canonical</t>
  </si>
  <si>
    <t>SCHEMA_URL_CANONICAL_MISMATCH</t>
  </si>
  <si>
    <t>Documented policy: do not mark up content that is not visible to users.</t>
  </si>
  <si>
    <t>C-3.1-k</t>
  </si>
  <si>
    <t>Property casing invalid (Url, Name, …)</t>
  </si>
  <si>
    <t>SCHEMA_INVALID_PROPERTY_CASE</t>
  </si>
  <si>
    <t>schema.org property names are case-sensitive.</t>
  </si>
  <si>
    <t>C-3.1-l</t>
  </si>
  <si>
    <t>Placeholder value detected</t>
  </si>
  <si>
    <t>SCHEMA_PLACEHOLDER_VALUE</t>
  </si>
  <si>
    <t>C-3.1-m</t>
  </si>
  <si>
    <t>Date invalid, or dateModified &lt; datePublished, or future-dated</t>
  </si>
  <si>
    <t>SCHEMA_INVALID_DATE</t>
  </si>
  <si>
    <t>C-3.1-n</t>
  </si>
  <si>
    <t>Structured data present in RENDERED only</t>
  </si>
  <si>
    <t>SCHEMA_JS_INJECTED</t>
  </si>
  <si>
    <t>C-3.1-o</t>
  </si>
  <si>
    <t>RAW and RENDERED graphs differ materially</t>
  </si>
  <si>
    <t>SCHEMA_RAW_RENDERED_MISMATCH</t>
  </si>
  <si>
    <t>C-3.1-p</t>
  </si>
  <si>
    <t>Page is noindex/robots-blocked and carries structured data</t>
  </si>
  <si>
    <t>SCHEMA_ON_BLOCKED_PAGE</t>
  </si>
  <si>
    <t>Documented: do not block structured-data pages from crawling.</t>
  </si>
  <si>
    <t>C-3.1-q</t>
  </si>
  <si>
    <t>Out-of-scope type present</t>
  </si>
  <si>
    <t>INFO → PASS</t>
  </si>
  <si>
    <t>SCHEMA_OUT_OF_SCOPE_DETECTED — inventoried only, never validated</t>
  </si>
  <si>
    <t>C-3.1-r</t>
  </si>
  <si>
    <t>FAQPage present but malformed</t>
  </si>
  <si>
    <t>FAQ_MARKUP_INVALID — no rich result since 7 May 2026; retained for extraction value only</t>
  </si>
  <si>
    <t>FAQ rich results were retired on 7 May 2026; markup retained for extraction value only.</t>
  </si>
  <si>
    <t>C-3.1-s</t>
  </si>
  <si>
    <t>Expected in-scope type absent for this page_type (e.g. no BreadcrumbList on a deep page)</t>
  </si>
  <si>
    <t>SCHEMA_TYPE_ABSENT</t>
  </si>
  <si>
    <t>C-3.1-t</t>
  </si>
  <si>
    <t>No Organization (or Person, on a personal site) node anywhere in the page graph</t>
  </si>
  <si>
    <t>NO_ENTITY_MARKUP</t>
  </si>
  <si>
    <t>C-3.1-u</t>
  </si>
  <si>
    <t>FAQPage markup does not correspond to visible Q&amp;A</t>
  </si>
  <si>
    <t>FAQ_MARKUP_CONTENT_MISMATCH — violates Google’s structured-data content policy</t>
  </si>
  <si>
    <t>C-3.1-v</t>
  </si>
  <si>
    <t>Visible Q&amp;A block with no FAQPage markup</t>
  </si>
  <si>
    <t>FAQ_NOT_MARKED_UP — no rich result available since 7 May 2026; extraction value only</t>
  </si>
  <si>
    <t>No rich result available; extraction value only. Tool policy.</t>
  </si>
  <si>
    <t>C-3.1-w</t>
  </si>
  <si>
    <t>speakable selector resolves to nothing</t>
  </si>
  <si>
    <t>SPEAKABLE_SELECTOR_UNRESOLVED</t>
  </si>
  <si>
    <t>C-3.1-x</t>
  </si>
  <si>
    <t>sameAs absent, or fewer than schema.min_sameas resolving profiles</t>
  </si>
  <si>
    <t>WEAK_ENTITY_ANCHORING</t>
  </si>
  <si>
    <t>sameAs is a documented Organization property; the minimum of 2 resolving profiles is tool policy.</t>
  </si>
  <si>
    <t>C-3.1-y</t>
  </si>
  <si>
    <t>Entity name is ambiguous and sameAs is absent</t>
  </si>
  <si>
    <t>AMBIGUOUS_ENTITY_UNANCHORED</t>
  </si>
  <si>
    <t>C-3.1-z</t>
  </si>
  <si>
    <t>Author named in visible text but no Person node referenced from author</t>
  </si>
  <si>
    <t>NO_AUTHOR_MARKUP</t>
  </si>
  <si>
    <t>C-3.1-aa</t>
  </si>
  <si>
    <t>Date present in markup but not visible on the page</t>
  </si>
  <si>
    <t>DATE_NOT_USER_VISIBLE</t>
  </si>
  <si>
    <t>C-3.2-a</t>
  </si>
  <si>
    <t>is_multilingual = false</t>
  </si>
  <si>
    <t>MONOLINGUAL_SITE</t>
  </si>
  <si>
    <t>Inherits the factor-level source. hreflang syntax, reciprocity, x-default and code validity are documented.</t>
  </si>
  <si>
    <t>C-3.2-c</t>
  </si>
  <si>
    <t>Multilingual signals present but no hreflang annotations in HTML &lt;head&gt; or Link headers on any sampled page</t>
  </si>
  <si>
    <t>HREFLANG_NOT_FOUND_IN_HTML_OR_HEADERS — WARN, not FAIL: absence from the two evaluated mechanisms does not prove hreflan</t>
  </si>
  <si>
    <t>Documented: annotations must be reciprocal or they are ignored.</t>
  </si>
  <si>
    <t>C-3.2-e</t>
  </si>
  <si>
    <t>Missing self-reference</t>
  </si>
  <si>
    <t>HREFLANG_NO_SELF_REFERENCE</t>
  </si>
  <si>
    <t>C-3.2-f</t>
  </si>
  <si>
    <t>Invalid language or region code</t>
  </si>
  <si>
    <t>HREFLANG_INVALID_CODE</t>
  </si>
  <si>
    <t>Documented: ISO 639-1 language plus optional ISO 3166-1 Alpha-2 region.</t>
  </si>
  <si>
    <t>C-3.2-g</t>
  </si>
  <si>
    <t>Region code without a language (hreflang="us")</t>
  </si>
  <si>
    <t>HREFLANG_REGION_ONLY</t>
  </si>
  <si>
    <t>Documented: a region code alone is invalid.</t>
  </si>
  <si>
    <t>C-3.2-h</t>
  </si>
  <si>
    <t>href relative or protocol-relative</t>
  </si>
  <si>
    <t>HREFLANG_RELATIVE_URL</t>
  </si>
  <si>
    <t>Documented: hreflang URLs must be fully qualified.</t>
  </si>
  <si>
    <t>C-3.2-i</t>
  </si>
  <si>
    <t>Alternate returns 4xx/5xx</t>
  </si>
  <si>
    <t>HREFLANG_TARGET_BROKEN · **reported under Section 1 — Crawl &amp; Indexing** (R-3.2-15)</t>
  </si>
  <si>
    <t>C-3.2-j</t>
  </si>
  <si>
    <t>Alternate is noindex or robots-blocked</t>
  </si>
  <si>
    <t>HREFLANG_TARGET_NONINDEXABLE</t>
  </si>
  <si>
    <t>C-3.2-k</t>
  </si>
  <si>
    <t>Canonical points to a different language within the cluster</t>
  </si>
  <si>
    <t>HREFLANG_CANONICAL_CONFLICT · **reported under Section 1 — Crawl &amp; Indexing** (R-3.2-15)</t>
  </si>
  <si>
    <t>C-3.2-l</t>
  </si>
  <si>
    <t>Same code mapped to two URLs in one cluster</t>
  </si>
  <si>
    <t>HREFLANG_DUPLICATE_CODE · **reported under Section 1 — Crawl &amp; Indexing** (R-3.2-15)</t>
  </si>
  <si>
    <t>C-3.2-m</t>
  </si>
  <si>
    <t>No x-default in the cluster</t>
  </si>
  <si>
    <t>HREFLANG_NO_X_DEFAULT</t>
  </si>
  <si>
    <t>Documented x-default convention; severity is tool policy.</t>
  </si>
  <si>
    <t>C-3.2-n</t>
  </si>
  <si>
    <t>&lt;html lang&gt; disagrees with the self-referencing hreflang</t>
  </si>
  <si>
    <t>HREFLANG_HTML_LANG_MISMATCH</t>
  </si>
  <si>
    <t>C-3.2-o</t>
  </si>
  <si>
    <t>Two mechanisms annotate the same URL with different sets</t>
  </si>
  <si>
    <t>HREFLANG_MECHANISM_CONFLICT</t>
  </si>
  <si>
    <t>C-3.2-p</t>
  </si>
  <si>
    <t>Annotations present in RENDERED only</t>
  </si>
  <si>
    <t>HREFLANG_JS_INJECTED</t>
  </si>
  <si>
    <t>C-3.2-q</t>
  </si>
  <si>
    <t>Cluster has only one member</t>
  </si>
  <si>
    <t>HREFLANG_SINGLETON_CLUSTER</t>
  </si>
  <si>
    <t>C-3.2-r</t>
  </si>
  <si>
    <t>hreflang in &lt;body&gt; rather than &lt;head&gt;</t>
  </si>
  <si>
    <t>HREFLANG_IN_BODY</t>
  </si>
  <si>
    <t>C-3.2-s</t>
  </si>
  <si>
    <t>The alternate publishes no HTML or header hreflang at all, so no return link can be verified for that pair</t>
  </si>
  <si>
    <t>NOT_TESTABLE for that pair</t>
  </si>
  <si>
    <t>HREFLANG_RETURN_LINK_UNVERIFIABLE</t>
  </si>
  <si>
    <t>Inherits the factor-level source. Core Web Vitals thresholds and the p75 rule are documented by Google/web.dev.</t>
  </si>
  <si>
    <t>C-4.1-b</t>
  </si>
  <si>
    <t>Field data present; any metric in the Poor band</t>
  </si>
  <si>
    <t>CWV_POOR (+ metric name)</t>
  </si>
  <si>
    <t>C-4.1-c</t>
  </si>
  <si>
    <t>Field data present; any metric in Needs-improvement, none Poor</t>
  </si>
  <si>
    <t>CWV_NEEDS_IMPROVEMENT (+ metric name)</t>
  </si>
  <si>
    <t>C-4.1-d</t>
  </si>
  <si>
    <t>No URL-level field data; origin-level available and all Good</t>
  </si>
  <si>
    <t>CWV_ORIGIN_LEVEL_ONLY — verdict describes the origin, not this page</t>
  </si>
  <si>
    <t>C-4.1-e</t>
  </si>
  <si>
    <t>No URL-level field data; origin-level available and failing</t>
  </si>
  <si>
    <t>CWV_ORIGIN_LEVEL_FAILING — page-specific verdict unavailable</t>
  </si>
  <si>
    <t>C-4.1-f</t>
  </si>
  <si>
    <t>No field data at any level; lab data available</t>
  </si>
  <si>
    <t>NOT_TESTABLE for assessment; lab reported as diagnostics</t>
  </si>
  <si>
    <t>CWV_NO_FIELD_DATA</t>
  </si>
  <si>
    <t>CrUX coverage requires sufficient real-user traffic.</t>
  </si>
  <si>
    <t>C-4.1-g</t>
  </si>
  <si>
    <t>No field data, no lab data</t>
  </si>
  <si>
    <t>CWV_NO_DATA</t>
  </si>
  <si>
    <t>Fall to next rung</t>
  </si>
  <si>
    <t>C-4.1-j</t>
  </si>
  <si>
    <t>API key missing or invalid</t>
  </si>
  <si>
    <t>CWV_NO_API_KEY</t>
  </si>
  <si>
    <t>C-4.1-k</t>
  </si>
  <si>
    <t>Lab run fails (page did not load, timed out)</t>
  </si>
  <si>
    <t>LAB_RUN_FAILED</t>
  </si>
  <si>
    <t>C-4.1-l</t>
  </si>
  <si>
    <t>Field p75 Good but &gt; 25% of samples in Poor</t>
  </si>
  <si>
    <t>CWV_LONG_TAIL — passes assessment, but a quarter of visits are poor</t>
  </si>
  <si>
    <t>C-4.1-m</t>
  </si>
  <si>
    <t>Mobile passes, desktop fails (or vice versa)</t>
  </si>
  <si>
    <t>Report both; overall = worse of the two</t>
  </si>
  <si>
    <t>CWV_FORM_FACTOR_DIVERGENCE</t>
  </si>
  <si>
    <t>C-5.1-a</t>
  </si>
  <si>
    <t>All retrieval-oriented agents (OAI-SearchBot, Claude-SearchBot, PerplexityBot, Applebot) allowed on content paths</t>
  </si>
  <si>
    <t>Inherits the factor-level source. AI-crawler behaviour rests on each vendor's own declaration — a statement of intent, not an independently verifiable fact.</t>
  </si>
  <si>
    <t>V1, V2, V3</t>
  </si>
  <si>
    <t>Vendor declarations of UA tokens and robots.txt behaviour.</t>
  </si>
  <si>
    <t>C-5.1-c</t>
  </si>
  <si>
    <t>All AI agents blocked site-wide</t>
  </si>
  <si>
    <t>ALL_AI_AGENTS_BLOCKED — legitimate if deliberate; the finding must ask whether it is</t>
  </si>
  <si>
    <t>C-5.1-d</t>
  </si>
  <si>
    <t>Training-only agents (GPTBot, ClaudeBot, CCBot) blocked; retrieval agents allowed</t>
  </si>
  <si>
    <t>AI_TRAINING_BLOCKED_BY_CHOICE — a licensing decision, reported not scored</t>
  </si>
  <si>
    <t>C-5.1-e</t>
  </si>
  <si>
    <t>Google-Extended disallowed</t>
  </si>
  <si>
    <t>GOOGLE_EXTENDED_DISALLOWED — informational; no effect on Google Search inclusion or ranking</t>
  </si>
  <si>
    <t>Documented: Google-Extended is a control token and does not affect Search inclusion or ranking.</t>
  </si>
  <si>
    <t>C-5.1-f</t>
  </si>
  <si>
    <t>Applebot-Extended disallowed</t>
  </si>
  <si>
    <t>APPLEBOT_EXTENDED_DISALLOWED — informational; no effect on Apple search visibility</t>
  </si>
  <si>
    <t>Vendor declaration.</t>
  </si>
  <si>
    <t>C-5.1-g</t>
  </si>
  <si>
    <t>No AI-specific groups; agents inherit * which is permissive</t>
  </si>
  <si>
    <t>AI_ACCESS_UNDECLARED</t>
  </si>
  <si>
    <t>C-5.1-h</t>
  </si>
  <si>
    <t>No AI-specific groups; * group is Disallow: /</t>
  </si>
  <si>
    <t>AI_BLOCKED_BY_WILDCARD — usually unintended collateral of a Googlebot-focused rule</t>
  </si>
  <si>
    <t>C-5.1-j</t>
  </si>
  <si>
    <t>nosnippet / max-snippet:0 on sampled content pages</t>
  </si>
  <si>
    <t>AI_INPUT_SUPPRESSED_BY_SNIPPET_DIRECTIVE</t>
  </si>
  <si>
    <t>C-5.1-k</t>
  </si>
  <si>
    <t>Content-Signal present and internally consistent</t>
  </si>
  <si>
    <t>CONTENT_SIGNAL_DECLARED</t>
  </si>
  <si>
    <t>C-5.1-l</t>
  </si>
  <si>
    <t>Content-Signal contradicts the robots rules in the same group (e.g. ai-train=yes while GPTBot is disallowed)</t>
  </si>
  <si>
    <t>CONTENT_SIGNAL_CONTRADICTION</t>
  </si>
  <si>
    <t>C-5.1-m</t>
  </si>
  <si>
    <t>Blocking rules target content paths that carry the site’s substantive material</t>
  </si>
  <si>
    <t>AI_BLOCKED_ON_CONTENT_PATHS</t>
  </si>
  <si>
    <t>C-5.1-n</t>
  </si>
  <si>
    <t>robots.txt unavailable</t>
  </si>
  <si>
    <t>ROBOTS_UNAVAILABLE</t>
  </si>
  <si>
    <t>Inherits the factor-level source. Crawl/render/index behaviour and the consequences of client-only content are documented.</t>
  </si>
  <si>
    <t>Documented rendering behaviour.</t>
  </si>
  <si>
    <t>Documented rendering behaviour and SPA soft-404 handling.</t>
  </si>
  <si>
    <t>C-5.2-f</t>
  </si>
  <si>
    <t>h1 absent in RAW, present in RENDERED</t>
  </si>
  <si>
    <t>H1_REQUIRES_JS</t>
  </si>
  <si>
    <t>C-5.2-g</t>
  </si>
  <si>
    <t>title absent in RAW</t>
  </si>
  <si>
    <t>TITLE_REQUIRES_JS</t>
  </si>
  <si>
    <t>C-5.2-h</t>
  </si>
  <si>
    <t>Canonical absent in RAW, present in RENDERED</t>
  </si>
  <si>
    <t>CANONICAL_REQUIRES_JS</t>
  </si>
  <si>
    <t>C-5.2-j</t>
  </si>
  <si>
    <t>&lt;noscript&gt; contains only an enable-JS message</t>
  </si>
  <si>
    <t>NOSCRIPT_NOT_SUBSTANTIVE</t>
  </si>
  <si>
    <t>C-5.2-l</t>
  </si>
  <si>
    <t>Both profiles empty</t>
  </si>
  <si>
    <t>NO_CONTENT_EITHER_PROFILE</t>
  </si>
  <si>
    <t>C-5.2-n</t>
  </si>
  <si>
    <t>RENDERED fetch failed on this page</t>
  </si>
  <si>
    <t>RENDER_FAILED</t>
  </si>
  <si>
    <t>Inherits the factor-level source. llms.txt is a PROPOSED convention. No search engine has confirmed it as a crawl or ranking input; Google states no AI text files are needed.</t>
  </si>
  <si>
    <t>llms.txt is a PROPOSED convention with no engine adoption; Google states no AI text files are needed. Absence is never a defect.</t>
  </si>
  <si>
    <t>C-5.3-i</t>
  </si>
  <si>
    <t>5xx</t>
  </si>
  <si>
    <t>LLMS_TXT_UNREACHABLE</t>
  </si>
  <si>
    <t>C-5.3-k</t>
  </si>
  <si>
    <t>No blockquote summary</t>
  </si>
  <si>
    <t>LLMS_TXT_NO_SUMMARY</t>
  </si>
  <si>
    <t>C-5.3-l</t>
  </si>
  <si>
    <t>Description conflicts with Organization.description / homepage h1</t>
  </si>
  <si>
    <t>LLMS_TXT_ENTITY_INCONSISTENT</t>
  </si>
  <si>
    <t>C-5.3-m</t>
  </si>
  <si>
    <t>Markdown twins available under content negotiation or .md paths</t>
  </si>
  <si>
    <t>MARKDOWN_TWINS_PRESENT — positive signal, recorded not required</t>
  </si>
  <si>
    <t>C-5.3-n</t>
  </si>
  <si>
    <t>llms.txt present but /robots.txt blocks the AI agents entirely</t>
  </si>
  <si>
    <t>LLMS_TXT_CONTRADICTS_ROBOTS</t>
  </si>
  <si>
    <t>Inherits the factor-level source. No external body specifies an AI-instructions page. Entirely tool policy; Google explicitly states no such file is required.</t>
  </si>
  <si>
    <t>C-5.4-b</t>
  </si>
  <si>
    <t>No page found after the full ladder</t>
  </si>
  <si>
    <t>AI_INSTRUCTIONS_PAGE_ABSENT — optional practice; never FAIL</t>
  </si>
  <si>
    <t>Entirely tool policy. Google explicitly states no such page is required.</t>
  </si>
  <si>
    <t>C-5.4-d</t>
  </si>
  <si>
    <t>Found but noindex or robots-blocked</t>
  </si>
  <si>
    <t>AI_INSTRUCTIONS_PAGE_BLOCKED — the page exists for machines that are forbidden from reading it</t>
  </si>
  <si>
    <t>C-5.4-e</t>
  </si>
  <si>
    <t>Found but present only in RENDERED</t>
  </si>
  <si>
    <t>AI_INSTRUCTIONS_PAGE_REQUIRES_JS</t>
  </si>
  <si>
    <t>C-5.4-f</t>
  </si>
  <si>
    <t>Found but orphaned (no internal link from any crawled page, and not in llms.txt)</t>
  </si>
  <si>
    <t>AI_INSTRUCTIONS_PAGE_ORPHANED</t>
  </si>
  <si>
    <t>C-5.4-g</t>
  </si>
  <si>
    <t>Definitional sentence conflicts with Organization.description or homepage h1</t>
  </si>
  <si>
    <t>ENTITY_DESCRIPTION_CONFLICT</t>
  </si>
  <si>
    <t>C-5.4-h</t>
  </si>
  <si>
    <t>No last-updated date</t>
  </si>
  <si>
    <t>AI_INSTRUCTIONS_NO_DATE</t>
  </si>
  <si>
    <t>C-5.4-i</t>
  </si>
  <si>
    <t>No competitors or category named</t>
  </si>
  <si>
    <t>AI_INSTRUCTIONS_NO_COMPETITIVE_CONTEXT</t>
  </si>
  <si>
    <t>C-5.4-j</t>
  </si>
  <si>
    <t>No explicit instructions block</t>
  </si>
  <si>
    <t>AI_INSTRUCTIONS_NO_DIRECTIVES</t>
  </si>
  <si>
    <t>C-5.4-k</t>
  </si>
  <si>
    <t>A verifiable claim contradicts the live site (e.g. a price that does not match the pricing page)</t>
  </si>
  <si>
    <t>AI_INSTRUCTIONS_CLAIM_CONTRADICTED</t>
  </si>
  <si>
    <t>C-5.4-m</t>
  </si>
  <si>
    <t>Multiple candidate pages found</t>
  </si>
  <si>
    <t>AI_INSTRUCTIONS_MULTIPLE — split authority; consolidate</t>
  </si>
  <si>
    <t>Inherits the factor-level source. Raw vs rendered availability is grounded in documented rendering behaviour; extraction-quality thresholds are tool policy.</t>
  </si>
  <si>
    <t>C-6.1-h</t>
  </si>
  <si>
    <t>Substantive content only inside same-origin iframes</t>
  </si>
  <si>
    <t>CONTENT_IN_IFRAME</t>
  </si>
  <si>
    <t>C-6.1-i</t>
  </si>
  <si>
    <t>Tab/accordion panel content absent from RAW</t>
  </si>
  <si>
    <t>CONTENT_IN_HIDDEN_PANELS</t>
  </si>
  <si>
    <t>C-6.1-j</t>
  </si>
  <si>
    <t>Encoding mismatch / mojibake detected</t>
  </si>
  <si>
    <t>ENCODING_CORRUPTION</t>
  </si>
  <si>
    <t>C-6.1-k</t>
  </si>
  <si>
    <t>No semantic HTML landmarks at all</t>
  </si>
  <si>
    <t>NO_SEMANTIC_HTML</t>
  </si>
  <si>
    <t>C-6.1-m</t>
  </si>
  <si>
    <t>Markdown twin available</t>
  </si>
  <si>
    <t>MARKDOWN_TWIN_AVAILABLE — recorded as a positive</t>
  </si>
  <si>
    <t>C-6.1-n</t>
  </si>
  <si>
    <t>UA-conditional content difference detected</t>
  </si>
  <si>
    <t>UA_CONDITIONAL_CONTENT</t>
  </si>
  <si>
    <t>C-6.1-o</t>
  </si>
  <si>
    <t>RAW fetch failed</t>
  </si>
  <si>
    <t>RAW_FETCH_FAILED</t>
  </si>
  <si>
    <t>Inherits the factor-level source. Organization/WebSite markup and sameAs are documented; entity-clarity scoring is tool policy.</t>
  </si>
  <si>
    <t>C-6.2-b</t>
  </si>
  <si>
    <t>Entity name differs across sources</t>
  </si>
  <si>
    <t>ENTITY_NAME_INCONSISTENT</t>
  </si>
  <si>
    <t>C-6.2-c</t>
  </si>
  <si>
    <t>No definitional statement on the homepage</t>
  </si>
  <si>
    <t>NO_DEFINITIONAL_STATEMENT</t>
  </si>
  <si>
    <t>C-6.2-d</t>
  </si>
  <si>
    <t>Description differs materially across schema / meta / llms.txt / AI page</t>
  </si>
  <si>
    <t>ENTITY_DESCRIPTION_INCONSISTENT</t>
  </si>
  <si>
    <t>C-6.2-e</t>
  </si>
  <si>
    <t>Page has no h1, or h1 shares no token with &lt;title&gt;</t>
  </si>
  <si>
    <t>PAGE_SUBJECT_UNCLEAR</t>
  </si>
  <si>
    <t>C-6.2-f</t>
  </si>
  <si>
    <t>Article without a named author</t>
  </si>
  <si>
    <t>NO_AUTHOR_ATTRIBUTION</t>
  </si>
  <si>
    <t>Gate results only</t>
  </si>
  <si>
    <t>Inherits the factor-level source. Google states no special markup is needed for AI surfaces. Extractability scoring is tool policy.</t>
  </si>
  <si>
    <t>C-6.4-d</t>
  </si>
  <si>
    <t>Question headings present but none answered within 3 sentences</t>
  </si>
  <si>
    <t>QUESTIONS_NOT_DIRECTLY_ANSWERED</t>
  </si>
  <si>
    <t>C-6.4-e</t>
  </si>
  <si>
    <t>No definitional sentence for the page subject</t>
  </si>
  <si>
    <t>NO_DEFINITIONAL_ANSWER</t>
  </si>
  <si>
    <t>C-6.4-g</t>
  </si>
  <si>
    <t>Factual claims with no source, author or date</t>
  </si>
  <si>
    <t>NO_ATTRIBUTION_SCAFFOLDING</t>
  </si>
  <si>
    <t>Gate only</t>
  </si>
  <si>
    <t>Inherits the factor-level source. Date properties are documented in structured data; all staleness thresholds are tool policy.</t>
  </si>
  <si>
    <t>C-6.5-b</t>
  </si>
  <si>
    <t>No date signal from any source on a date-sensitive page type</t>
  </si>
  <si>
    <t>NO_DATE_SIGNAL</t>
  </si>
  <si>
    <t>C-6.5-c</t>
  </si>
  <si>
    <t>dateModified earlier than datePublished</t>
  </si>
  <si>
    <t>DATE_LOGIC_INVALID</t>
  </si>
  <si>
    <t>C-6.5-d</t>
  </si>
  <si>
    <t>Future date</t>
  </si>
  <si>
    <t>DATE_IN_FUTURE</t>
  </si>
  <si>
    <t>C-6.5-e</t>
  </si>
  <si>
    <t>Unparseable date value</t>
  </si>
  <si>
    <t>DATE_UNPARSEABLE</t>
  </si>
  <si>
    <t>C-6.5-k</t>
  </si>
  <si>
    <t>Page type is not date-sensitive</t>
  </si>
  <si>
    <t>EVERGREEN_PAGE_TYPE</t>
  </si>
  <si>
    <t>Deterministic findings only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</si>
</sst>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FFFFFF"/>
      <name val="Arial"/>
    </font>
    <font>
      <b/>
      <sz val="14.0"/>
      <color rgb="FF1F3864"/>
      <name val="Arial"/>
    </font>
    <font>
      <sz val="10.0"/>
      <color rgb="FF000000"/>
      <name val="Arial"/>
    </font>
    <font>
      <b/>
      <sz val="11.0"/>
      <color rgb="FF1F3864"/>
      <name val="Arial"/>
    </font>
    <font>
      <sz val="10.0"/>
      <color theme="1"/>
      <name val="Arial"/>
    </font>
    <font>
      <u/>
      <sz val="10.0"/>
      <color rgb="FF0563C1"/>
      <name val="Arial"/>
    </font>
    <font>
      <b/>
      <sz val="10.0"/>
      <color theme="1"/>
      <name val="Arial"/>
    </font>
    <font>
      <b/>
      <sz val="10.0"/>
      <color rgb="FFC00000"/>
      <name val="Arial"/>
    </font>
  </fonts>
  <fills count="10">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DDEBF7"/>
        <bgColor rgb="FFDDEBF7"/>
      </patternFill>
    </fill>
    <fill>
      <patternFill patternType="solid">
        <fgColor rgb="FFF8CBAD"/>
        <bgColor rgb="FFF8CBAD"/>
      </patternFill>
    </fill>
    <fill>
      <patternFill patternType="solid">
        <fgColor rgb="FFFFF2CC"/>
        <bgColor rgb="FFFFF2CC"/>
      </patternFill>
    </fill>
    <fill>
      <patternFill patternType="solid">
        <fgColor rgb="FFFCE4D6"/>
        <bgColor rgb="FFFCE4D6"/>
      </patternFill>
    </fill>
    <fill>
      <patternFill patternType="solid">
        <fgColor rgb="FFF2DCDB"/>
        <bgColor rgb="FFF2DCDB"/>
      </patternFill>
    </fill>
    <fill>
      <patternFill patternType="solid">
        <fgColor rgb="FFEDEDED"/>
        <bgColor rgb="FFEDEDED"/>
      </patternFill>
    </fill>
  </fills>
  <borders count="4">
    <border/>
    <border>
      <left/>
      <right/>
      <top/>
      <bottom/>
    </border>
    <border>
      <bottom style="thin">
        <color rgb="FFD9D9D9"/>
      </bottom>
    </border>
    <border>
      <left/>
      <right/>
      <top/>
      <bottom style="thin">
        <color rgb="FFD9D9D9"/>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2" fillId="0" fontId="5" numFmtId="0" xfId="0" applyAlignment="1" applyBorder="1" applyFont="1">
      <alignment shrinkToFit="0" vertical="top" wrapText="1"/>
    </xf>
    <xf borderId="1" fillId="3" fontId="5" numFmtId="0" xfId="0" applyAlignment="1" applyBorder="1" applyFill="1" applyFont="1">
      <alignment shrinkToFit="0" vertical="bottom" wrapText="0"/>
    </xf>
    <xf borderId="2" fillId="0" fontId="5" numFmtId="0" xfId="0" applyAlignment="1" applyBorder="1" applyFont="1">
      <alignment shrinkToFit="0" vertical="top" wrapText="0"/>
    </xf>
    <xf borderId="0" fillId="0" fontId="5" numFmtId="0" xfId="0" applyAlignment="1" applyFont="1">
      <alignment shrinkToFit="0" vertical="bottom" wrapText="0"/>
    </xf>
    <xf borderId="2" fillId="0" fontId="6" numFmtId="0" xfId="0" applyAlignment="1" applyBorder="1" applyFont="1">
      <alignment shrinkToFit="0" vertical="top" wrapText="1"/>
    </xf>
    <xf borderId="1" fillId="4" fontId="5" numFmtId="0" xfId="0" applyAlignment="1" applyBorder="1" applyFill="1" applyFont="1">
      <alignment shrinkToFit="0" vertical="bottom" wrapText="0"/>
    </xf>
    <xf borderId="3" fillId="3" fontId="5" numFmtId="0" xfId="0" applyAlignment="1" applyBorder="1" applyFill="1" applyFont="1">
      <alignment shrinkToFit="0" vertical="top" wrapText="1"/>
    </xf>
    <xf borderId="3" fillId="5" fontId="7" numFmtId="0" xfId="0" applyAlignment="1" applyBorder="1" applyFill="1" applyFont="1">
      <alignment shrinkToFit="0" vertical="top" wrapText="0"/>
    </xf>
    <xf borderId="1" fillId="6" fontId="5" numFmtId="0" xfId="0" applyAlignment="1" applyBorder="1" applyFill="1" applyFont="1">
      <alignment shrinkToFit="0" vertical="bottom" wrapText="0"/>
    </xf>
    <xf borderId="1" fillId="7" fontId="5" numFmtId="0" xfId="0" applyAlignment="1" applyBorder="1" applyFill="1" applyFont="1">
      <alignment shrinkToFit="0" vertical="bottom" wrapText="0"/>
    </xf>
    <xf borderId="1" fillId="8" fontId="5" numFmtId="0" xfId="0" applyAlignment="1" applyBorder="1" applyFill="1" applyFont="1">
      <alignment shrinkToFit="0" vertical="bottom" wrapText="0"/>
    </xf>
    <xf borderId="1" fillId="5" fontId="5" numFmtId="0" xfId="0" applyAlignment="1" applyBorder="1" applyFill="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3" fillId="4" fontId="5" numFmtId="0" xfId="0" applyAlignment="1" applyBorder="1" applyFill="1" applyFont="1">
      <alignment shrinkToFit="0" vertical="top" wrapText="1"/>
    </xf>
    <xf borderId="3" fillId="5" fontId="5" numFmtId="0" xfId="0" applyAlignment="1" applyBorder="1" applyFill="1" applyFont="1">
      <alignment shrinkToFit="0" vertical="top" wrapText="1"/>
    </xf>
    <xf borderId="3" fillId="6" fontId="5" numFmtId="0" xfId="0" applyAlignment="1" applyBorder="1" applyFill="1" applyFont="1">
      <alignment shrinkToFit="0" vertical="top" wrapText="1"/>
    </xf>
    <xf borderId="3" fillId="8" fontId="5" numFmtId="0" xfId="0" applyAlignment="1" applyBorder="1" applyFill="1" applyFont="1">
      <alignment shrinkToFit="0" vertical="top" wrapText="1"/>
    </xf>
    <xf borderId="3" fillId="7" fontId="5" numFmtId="0" xfId="0" applyAlignment="1" applyBorder="1" applyFill="1" applyFont="1">
      <alignment shrinkToFit="0" vertical="top" wrapText="1"/>
    </xf>
    <xf borderId="2" fillId="0" fontId="8" numFmtId="0" xfId="0" applyAlignment="1" applyBorder="1" applyFont="1">
      <alignment shrinkToFit="0" vertical="top" wrapText="1"/>
    </xf>
    <xf borderId="3" fillId="9"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platform.openai.com/docs/bots" TargetMode="External"/><Relationship Id="rId20" Type="http://schemas.openxmlformats.org/officeDocument/2006/relationships/hyperlink" Target="https://web.dev/articles/vitals" TargetMode="External"/><Relationship Id="rId42" Type="http://schemas.openxmlformats.org/officeDocument/2006/relationships/hyperlink" Target="https://docs.perplexity.ai/guides/bots" TargetMode="External"/><Relationship Id="rId41" Type="http://schemas.openxmlformats.org/officeDocument/2006/relationships/hyperlink" Target="https://support.claude.com/en/articles/8896518" TargetMode="External"/><Relationship Id="rId22" Type="http://schemas.openxmlformats.org/officeDocument/2006/relationships/hyperlink" Target="https://web.dev/articles/lcp" TargetMode="External"/><Relationship Id="rId44" Type="http://schemas.openxmlformats.org/officeDocument/2006/relationships/hyperlink" Target="https://commoncrawl.org/ccbot" TargetMode="External"/><Relationship Id="rId21" Type="http://schemas.openxmlformats.org/officeDocument/2006/relationships/hyperlink" Target="https://web.dev/articles/defining-core-web-vitals-thresholds" TargetMode="External"/><Relationship Id="rId43" Type="http://schemas.openxmlformats.org/officeDocument/2006/relationships/hyperlink" Target="https://support.apple.com/en-us/119829" TargetMode="External"/><Relationship Id="rId24" Type="http://schemas.openxmlformats.org/officeDocument/2006/relationships/hyperlink" Target="https://developers.google.com/speed/docs/insights/v5/get-started" TargetMode="External"/><Relationship Id="rId23" Type="http://schemas.openxmlformats.org/officeDocument/2006/relationships/hyperlink" Target="https://developer.chrome.com/docs/crux/api" TargetMode="External"/><Relationship Id="rId45" Type="http://schemas.openxmlformats.org/officeDocument/2006/relationships/drawing" Target="../drawings/drawing2.xml"/><Relationship Id="rId1" Type="http://schemas.openxmlformats.org/officeDocument/2006/relationships/hyperlink" Target="https://developers.google.com/search/docs/crawling-indexing/robots/robots_txt" TargetMode="External"/><Relationship Id="rId2" Type="http://schemas.openxmlformats.org/officeDocument/2006/relationships/hyperlink" Target="https://developers.google.com/search/docs/crawling-indexing/robots/intro" TargetMode="External"/><Relationship Id="rId3" Type="http://schemas.openxmlformats.org/officeDocument/2006/relationships/hyperlink" Target="https://developers.google.com/search/docs/crawling-indexing/http-network-errors" TargetMode="External"/><Relationship Id="rId4" Type="http://schemas.openxmlformats.org/officeDocument/2006/relationships/hyperlink" Target="https://developers.google.com/search/docs/crawling-indexing/googlebot" TargetMode="External"/><Relationship Id="rId9" Type="http://schemas.openxmlformats.org/officeDocument/2006/relationships/hyperlink" Target="https://developers.google.com/search/docs/crawling-indexing/robots-meta-tag" TargetMode="External"/><Relationship Id="rId26" Type="http://schemas.openxmlformats.org/officeDocument/2006/relationships/hyperlink" Target="https://www.rfc-editor.org/rfc/rfc9309.html" TargetMode="External"/><Relationship Id="rId25" Type="http://schemas.openxmlformats.org/officeDocument/2006/relationships/hyperlink" Target="https://schema.org/" TargetMode="External"/><Relationship Id="rId28" Type="http://schemas.openxmlformats.org/officeDocument/2006/relationships/hyperlink" Target="https://www.rfc-editor.org/rfc/rfc9110.html" TargetMode="External"/><Relationship Id="rId27" Type="http://schemas.openxmlformats.org/officeDocument/2006/relationships/hyperlink" Target="https://www.rfc-editor.org/rfc/rfc3986" TargetMode="External"/><Relationship Id="rId5" Type="http://schemas.openxmlformats.org/officeDocument/2006/relationships/hyperlink" Target="https://developers.google.com/search/docs/crawling-indexing/google-common-crawlers" TargetMode="External"/><Relationship Id="rId6" Type="http://schemas.openxmlformats.org/officeDocument/2006/relationships/hyperlink" Target="https://developers.google.com/search/docs/crawling-indexing/sitemaps/build-sitemap" TargetMode="External"/><Relationship Id="rId29" Type="http://schemas.openxmlformats.org/officeDocument/2006/relationships/hyperlink" Target="https://www.rfc-editor.org/rfc/rfc6797" TargetMode="External"/><Relationship Id="rId7" Type="http://schemas.openxmlformats.org/officeDocument/2006/relationships/hyperlink" Target="https://www.sitemaps.org/protocol.html" TargetMode="External"/><Relationship Id="rId8" Type="http://schemas.openxmlformats.org/officeDocument/2006/relationships/hyperlink" Target="https://developers.google.com/search/docs/crawling-indexing/consolidate-duplicate-urls" TargetMode="External"/><Relationship Id="rId31" Type="http://schemas.openxmlformats.org/officeDocument/2006/relationships/hyperlink" Target="https://llmstxt.org/" TargetMode="External"/><Relationship Id="rId30" Type="http://schemas.openxmlformats.org/officeDocument/2006/relationships/hyperlink" Target="https://publicsuffix.org/" TargetMode="External"/><Relationship Id="rId11" Type="http://schemas.openxmlformats.org/officeDocument/2006/relationships/hyperlink" Target="https://developers.google.com/search/docs/specialty/international/localized-versions" TargetMode="External"/><Relationship Id="rId33" Type="http://schemas.openxmlformats.org/officeDocument/2006/relationships/hyperlink" Target="https://ahrefs.com/blog/meta-description-study/" TargetMode="External"/><Relationship Id="rId10" Type="http://schemas.openxmlformats.org/officeDocument/2006/relationships/hyperlink" Target="https://developers.google.com/search/docs/crawling-indexing/javascript/javascript-seo-basics" TargetMode="External"/><Relationship Id="rId32" Type="http://schemas.openxmlformats.org/officeDocument/2006/relationships/hyperlink" Target="https://ahrefs.com/blog/title-tags-study/" TargetMode="External"/><Relationship Id="rId13" Type="http://schemas.openxmlformats.org/officeDocument/2006/relationships/hyperlink" Target="https://developers.google.com/search/docs/appearance/structured-data/organization" TargetMode="External"/><Relationship Id="rId35" Type="http://schemas.openxmlformats.org/officeDocument/2006/relationships/hyperlink" Target="https://ahrefs.com/blog/site-audit-study/" TargetMode="External"/><Relationship Id="rId12" Type="http://schemas.openxmlformats.org/officeDocument/2006/relationships/hyperlink" Target="https://developers.google.com/search/docs/appearance/structured-data/sd-policies" TargetMode="External"/><Relationship Id="rId34" Type="http://schemas.openxmlformats.org/officeDocument/2006/relationships/hyperlink" Target="https://ahrefs.com/blog/internal-links-for-seo/" TargetMode="External"/><Relationship Id="rId15" Type="http://schemas.openxmlformats.org/officeDocument/2006/relationships/hyperlink" Target="https://developers.google.com/search/docs/appearance/title-link" TargetMode="External"/><Relationship Id="rId37" Type="http://schemas.openxmlformats.org/officeDocument/2006/relationships/hyperlink" Target="https://moz.com/learn/seo/title-tag" TargetMode="External"/><Relationship Id="rId14" Type="http://schemas.openxmlformats.org/officeDocument/2006/relationships/hyperlink" Target="https://developers.google.com/search/docs/appearance/structured-data/product" TargetMode="External"/><Relationship Id="rId36" Type="http://schemas.openxmlformats.org/officeDocument/2006/relationships/hyperlink" Target="https://ahrefs.com/blog/anchor-text/" TargetMode="External"/><Relationship Id="rId17" Type="http://schemas.openxmlformats.org/officeDocument/2006/relationships/hyperlink" Target="https://developers.google.com/search/docs/appearance/ai-features" TargetMode="External"/><Relationship Id="rId39" Type="http://schemas.openxmlformats.org/officeDocument/2006/relationships/hyperlink" Target="https://moz.com/learn/seo/internal-link" TargetMode="External"/><Relationship Id="rId16" Type="http://schemas.openxmlformats.org/officeDocument/2006/relationships/hyperlink" Target="https://developers.google.com/search/docs/appearance/snippet" TargetMode="External"/><Relationship Id="rId38" Type="http://schemas.openxmlformats.org/officeDocument/2006/relationships/hyperlink" Target="https://moz.com/learn/seo/meta-description" TargetMode="External"/><Relationship Id="rId19" Type="http://schemas.openxmlformats.org/officeDocument/2006/relationships/hyperlink" Target="https://developers.google.com/search/docs/appearance/site-names" TargetMode="External"/><Relationship Id="rId18" Type="http://schemas.openxmlformats.org/officeDocument/2006/relationships/hyperlink" Target="https://developers.google.com/search/docs/essentials/technica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evelopers.google.com/search/docs/appearance/structured-data/organization" TargetMode="External"/><Relationship Id="rId22" Type="http://schemas.openxmlformats.org/officeDocument/2006/relationships/hyperlink" Target="https://developers.google.com/search/docs/appearance/structured-data/sd-policies" TargetMode="External"/><Relationship Id="rId21" Type="http://schemas.openxmlformats.org/officeDocument/2006/relationships/hyperlink" Target="https://developers.google.com/search/docs/appearance/ai-features" TargetMode="External"/><Relationship Id="rId23" Type="http://schemas.openxmlformats.org/officeDocument/2006/relationships/drawing" Target="../drawings/drawing3.xml"/><Relationship Id="rId1" Type="http://schemas.openxmlformats.org/officeDocument/2006/relationships/hyperlink" Target="https://developers.google.com/search/docs/crawling-indexing/robots/robots_txt" TargetMode="External"/><Relationship Id="rId2" Type="http://schemas.openxmlformats.org/officeDocument/2006/relationships/hyperlink" Target="https://developers.google.com/search/docs/crawling-indexing/sitemaps/build-sitemap" TargetMode="External"/><Relationship Id="rId3" Type="http://schemas.openxmlformats.org/officeDocument/2006/relationships/hyperlink" Target="https://developers.google.com/search/docs/crawling-indexing/http-network-errors" TargetMode="External"/><Relationship Id="rId4" Type="http://schemas.openxmlformats.org/officeDocument/2006/relationships/hyperlink" Target="https://developers.google.com/search/docs/crawling-indexing/http-network-errors" TargetMode="External"/><Relationship Id="rId9" Type="http://schemas.openxmlformats.org/officeDocument/2006/relationships/hyperlink" Target="https://developers.google.com/search/docs/appearance/snippet" TargetMode="External"/><Relationship Id="rId5" Type="http://schemas.openxmlformats.org/officeDocument/2006/relationships/hyperlink" Target="https://developers.google.com/search/docs/crawling-indexing/consolidate-duplicate-urls" TargetMode="External"/><Relationship Id="rId6" Type="http://schemas.openxmlformats.org/officeDocument/2006/relationships/hyperlink" Target="https://developers.google.com/search/docs/crawling-indexing/robots-meta-tag" TargetMode="External"/><Relationship Id="rId7" Type="http://schemas.openxmlformats.org/officeDocument/2006/relationships/hyperlink" Target="https://developers.google.com/search/docs/crawling-indexing/robots-meta-tag" TargetMode="External"/><Relationship Id="rId8" Type="http://schemas.openxmlformats.org/officeDocument/2006/relationships/hyperlink" Target="https://developers.google.com/search/docs/appearance/title-link" TargetMode="External"/><Relationship Id="rId11" Type="http://schemas.openxmlformats.org/officeDocument/2006/relationships/hyperlink" Target="https://developers.google.com/search/docs/crawling-indexing/javascript/javascript-seo-basics" TargetMode="External"/><Relationship Id="rId10" Type="http://schemas.openxmlformats.org/officeDocument/2006/relationships/hyperlink" Target="https://developers.google.com/search/docs/essentials/technical" TargetMode="External"/><Relationship Id="rId13" Type="http://schemas.openxmlformats.org/officeDocument/2006/relationships/hyperlink" Target="https://developers.google.com/search/docs/specialty/international/localized-versions" TargetMode="External"/><Relationship Id="rId12" Type="http://schemas.openxmlformats.org/officeDocument/2006/relationships/hyperlink" Target="https://developers.google.com/search/docs/appearance/structured-data/sd-policies" TargetMode="External"/><Relationship Id="rId15" Type="http://schemas.openxmlformats.org/officeDocument/2006/relationships/hyperlink" Target="https://platform.openai.com/docs/bots" TargetMode="External"/><Relationship Id="rId14" Type="http://schemas.openxmlformats.org/officeDocument/2006/relationships/hyperlink" Target="https://web.dev/articles/vitals" TargetMode="External"/><Relationship Id="rId17" Type="http://schemas.openxmlformats.org/officeDocument/2006/relationships/hyperlink" Target="https://llmstxt.org/" TargetMode="External"/><Relationship Id="rId16" Type="http://schemas.openxmlformats.org/officeDocument/2006/relationships/hyperlink" Target="https://developers.google.com/search/docs/crawling-indexing/javascript/javascript-seo-basics" TargetMode="External"/><Relationship Id="rId19" Type="http://schemas.openxmlformats.org/officeDocument/2006/relationships/hyperlink" Target="https://developers.google.com/search/docs/crawling-indexing/javascript/javascript-seo-basics" TargetMode="External"/><Relationship Id="rId18" Type="http://schemas.openxmlformats.org/officeDocument/2006/relationships/hyperlink" Target="https://developers.google.com/search/docs/appearance/ai-features"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evelopers.google.com/search/docs/crawling-indexing/http-network-errors" TargetMode="External"/><Relationship Id="rId190" Type="http://schemas.openxmlformats.org/officeDocument/2006/relationships/hyperlink" Target="https://developers.google.com/search/docs/specialty/international/localized-versions" TargetMode="External"/><Relationship Id="rId42" Type="http://schemas.openxmlformats.org/officeDocument/2006/relationships/hyperlink" Target="https://developers.google.com/search/docs/crawling-indexing/http-network-errors" TargetMode="External"/><Relationship Id="rId41" Type="http://schemas.openxmlformats.org/officeDocument/2006/relationships/hyperlink" Target="https://developers.google.com/search/docs/crawling-indexing/http-network-errors" TargetMode="External"/><Relationship Id="rId44" Type="http://schemas.openxmlformats.org/officeDocument/2006/relationships/hyperlink" Target="https://developers.google.com/search/docs/crawling-indexing/http-network-errors" TargetMode="External"/><Relationship Id="rId194" Type="http://schemas.openxmlformats.org/officeDocument/2006/relationships/hyperlink" Target="https://web.dev/articles/vitals" TargetMode="External"/><Relationship Id="rId43" Type="http://schemas.openxmlformats.org/officeDocument/2006/relationships/hyperlink" Target="https://developers.google.com/search/docs/crawling-indexing/http-network-errors" TargetMode="External"/><Relationship Id="rId193" Type="http://schemas.openxmlformats.org/officeDocument/2006/relationships/hyperlink" Target="https://developers.google.com/search/docs/specialty/international/localized-versions" TargetMode="External"/><Relationship Id="rId46" Type="http://schemas.openxmlformats.org/officeDocument/2006/relationships/hyperlink" Target="https://developers.google.com/search/docs/crawling-indexing/http-network-errors" TargetMode="External"/><Relationship Id="rId192" Type="http://schemas.openxmlformats.org/officeDocument/2006/relationships/hyperlink" Target="https://developers.google.com/search/docs/specialty/international/localized-versions" TargetMode="External"/><Relationship Id="rId45" Type="http://schemas.openxmlformats.org/officeDocument/2006/relationships/hyperlink" Target="https://developers.google.com/search/docs/crawling-indexing/http-network-errors" TargetMode="External"/><Relationship Id="rId191" Type="http://schemas.openxmlformats.org/officeDocument/2006/relationships/hyperlink" Target="https://developers.google.com/search/docs/specialty/international/localized-versions" TargetMode="External"/><Relationship Id="rId48" Type="http://schemas.openxmlformats.org/officeDocument/2006/relationships/hyperlink" Target="https://developers.google.com/search/docs/crawling-indexing/http-network-errors" TargetMode="External"/><Relationship Id="rId187" Type="http://schemas.openxmlformats.org/officeDocument/2006/relationships/hyperlink" Target="https://developers.google.com/search/docs/specialty/international/localized-versions" TargetMode="External"/><Relationship Id="rId47" Type="http://schemas.openxmlformats.org/officeDocument/2006/relationships/hyperlink" Target="https://developers.google.com/search/docs/crawling-indexing/http-network-errors" TargetMode="External"/><Relationship Id="rId186" Type="http://schemas.openxmlformats.org/officeDocument/2006/relationships/hyperlink" Target="https://developers.google.com/search/docs/specialty/international/localized-versions" TargetMode="External"/><Relationship Id="rId185" Type="http://schemas.openxmlformats.org/officeDocument/2006/relationships/hyperlink" Target="https://developers.google.com/search/docs/specialty/international/localized-versions" TargetMode="External"/><Relationship Id="rId49" Type="http://schemas.openxmlformats.org/officeDocument/2006/relationships/hyperlink" Target="https://developers.google.com/search/docs/crawling-indexing/http-network-errors" TargetMode="External"/><Relationship Id="rId184" Type="http://schemas.openxmlformats.org/officeDocument/2006/relationships/hyperlink" Target="https://developers.google.com/search/docs/specialty/international/localized-versions" TargetMode="External"/><Relationship Id="rId189" Type="http://schemas.openxmlformats.org/officeDocument/2006/relationships/hyperlink" Target="https://developers.google.com/search/docs/specialty/international/localized-versions" TargetMode="External"/><Relationship Id="rId188" Type="http://schemas.openxmlformats.org/officeDocument/2006/relationships/hyperlink" Target="https://developers.google.com/search/docs/specialty/international/localized-versions" TargetMode="External"/><Relationship Id="rId31" Type="http://schemas.openxmlformats.org/officeDocument/2006/relationships/hyperlink" Target="https://developers.google.com/search/docs/crawling-indexing/http-network-errors" TargetMode="External"/><Relationship Id="rId30" Type="http://schemas.openxmlformats.org/officeDocument/2006/relationships/hyperlink" Target="https://developers.google.com/search/docs/crawling-indexing/google-common-crawlers" TargetMode="External"/><Relationship Id="rId33" Type="http://schemas.openxmlformats.org/officeDocument/2006/relationships/hyperlink" Target="https://developers.google.com/search/docs/crawling-indexing/http-network-errors" TargetMode="External"/><Relationship Id="rId183" Type="http://schemas.openxmlformats.org/officeDocument/2006/relationships/hyperlink" Target="https://developers.google.com/search/docs/specialty/international/localized-versions" TargetMode="External"/><Relationship Id="rId32" Type="http://schemas.openxmlformats.org/officeDocument/2006/relationships/hyperlink" Target="https://developers.google.com/search/docs/crawling-indexing/http-network-errors" TargetMode="External"/><Relationship Id="rId182" Type="http://schemas.openxmlformats.org/officeDocument/2006/relationships/hyperlink" Target="https://developers.google.com/search/docs/specialty/international/localized-versions" TargetMode="External"/><Relationship Id="rId35" Type="http://schemas.openxmlformats.org/officeDocument/2006/relationships/hyperlink" Target="https://developers.google.com/search/docs/crawling-indexing/http-network-errors" TargetMode="External"/><Relationship Id="rId181" Type="http://schemas.openxmlformats.org/officeDocument/2006/relationships/hyperlink" Target="https://developers.google.com/search/docs/specialty/international/localized-versions" TargetMode="External"/><Relationship Id="rId34" Type="http://schemas.openxmlformats.org/officeDocument/2006/relationships/hyperlink" Target="https://developers.google.com/search/docs/crawling-indexing/http-network-errors" TargetMode="External"/><Relationship Id="rId180" Type="http://schemas.openxmlformats.org/officeDocument/2006/relationships/hyperlink" Target="https://developers.google.com/search/docs/specialty/international/localized-versions" TargetMode="External"/><Relationship Id="rId37" Type="http://schemas.openxmlformats.org/officeDocument/2006/relationships/hyperlink" Target="https://developers.google.com/search/docs/crawling-indexing/http-network-errors" TargetMode="External"/><Relationship Id="rId176" Type="http://schemas.openxmlformats.org/officeDocument/2006/relationships/hyperlink" Target="https://developers.google.com/search/docs/specialty/international/localized-versions" TargetMode="External"/><Relationship Id="rId297" Type="http://schemas.openxmlformats.org/officeDocument/2006/relationships/hyperlink" Target="https://developers.google.com/search/docs/appearance/structured-data/sd-policies" TargetMode="External"/><Relationship Id="rId36" Type="http://schemas.openxmlformats.org/officeDocument/2006/relationships/hyperlink" Target="https://developers.google.com/search/docs/crawling-indexing/http-network-errors" TargetMode="External"/><Relationship Id="rId175" Type="http://schemas.openxmlformats.org/officeDocument/2006/relationships/hyperlink" Target="https://developers.google.com/search/docs/specialty/international/localized-versions" TargetMode="External"/><Relationship Id="rId296" Type="http://schemas.openxmlformats.org/officeDocument/2006/relationships/hyperlink" Target="https://developers.google.com/search/docs/appearance/ai-features" TargetMode="External"/><Relationship Id="rId39" Type="http://schemas.openxmlformats.org/officeDocument/2006/relationships/hyperlink" Target="https://developers.google.com/search/docs/crawling-indexing/http-network-errors" TargetMode="External"/><Relationship Id="rId174" Type="http://schemas.openxmlformats.org/officeDocument/2006/relationships/hyperlink" Target="https://developers.google.com/search/docs/appearance/structured-data/sd-policies" TargetMode="External"/><Relationship Id="rId295" Type="http://schemas.openxmlformats.org/officeDocument/2006/relationships/hyperlink" Target="https://developers.google.com/search/docs/appearance/ai-features" TargetMode="External"/><Relationship Id="rId38" Type="http://schemas.openxmlformats.org/officeDocument/2006/relationships/hyperlink" Target="https://developers.google.com/search/docs/crawling-indexing/http-network-errors" TargetMode="External"/><Relationship Id="rId173" Type="http://schemas.openxmlformats.org/officeDocument/2006/relationships/hyperlink" Target="https://developers.google.com/search/docs/appearance/structured-data/sd-policies" TargetMode="External"/><Relationship Id="rId294" Type="http://schemas.openxmlformats.org/officeDocument/2006/relationships/hyperlink" Target="https://developers.google.com/search/docs/appearance/ai-features" TargetMode="External"/><Relationship Id="rId179" Type="http://schemas.openxmlformats.org/officeDocument/2006/relationships/hyperlink" Target="https://developers.google.com/search/docs/specialty/international/localized-versions" TargetMode="External"/><Relationship Id="rId178" Type="http://schemas.openxmlformats.org/officeDocument/2006/relationships/hyperlink" Target="https://developers.google.com/search/docs/specialty/international/localized-versions" TargetMode="External"/><Relationship Id="rId299" Type="http://schemas.openxmlformats.org/officeDocument/2006/relationships/hyperlink" Target="https://developers.google.com/search/docs/appearance/structured-data/sd-policies" TargetMode="External"/><Relationship Id="rId177" Type="http://schemas.openxmlformats.org/officeDocument/2006/relationships/hyperlink" Target="https://developers.google.com/search/docs/specialty/international/localized-versions" TargetMode="External"/><Relationship Id="rId298" Type="http://schemas.openxmlformats.org/officeDocument/2006/relationships/hyperlink" Target="https://developers.google.com/search/docs/appearance/structured-data/sd-policies" TargetMode="External"/><Relationship Id="rId20" Type="http://schemas.openxmlformats.org/officeDocument/2006/relationships/hyperlink" Target="https://developers.google.com/search/docs/crawling-indexing/http-network-errors" TargetMode="External"/><Relationship Id="rId22" Type="http://schemas.openxmlformats.org/officeDocument/2006/relationships/hyperlink" Target="https://developers.google.com/search/docs/crawling-indexing/http-network-errors" TargetMode="External"/><Relationship Id="rId21" Type="http://schemas.openxmlformats.org/officeDocument/2006/relationships/hyperlink" Target="https://developers.google.com/search/docs/crawling-indexing/http-network-errors" TargetMode="External"/><Relationship Id="rId24" Type="http://schemas.openxmlformats.org/officeDocument/2006/relationships/hyperlink" Target="https://developers.google.com/search/docs/crawling-indexing/http-network-errors" TargetMode="External"/><Relationship Id="rId23" Type="http://schemas.openxmlformats.org/officeDocument/2006/relationships/hyperlink" Target="https://developers.google.com/search/docs/crawling-indexing/http-network-errors" TargetMode="External"/><Relationship Id="rId26" Type="http://schemas.openxmlformats.org/officeDocument/2006/relationships/hyperlink" Target="https://developers.google.com/search/docs/crawling-indexing/http-network-errors" TargetMode="External"/><Relationship Id="rId25" Type="http://schemas.openxmlformats.org/officeDocument/2006/relationships/hyperlink" Target="https://developers.google.com/search/docs/crawling-indexing/http-network-errors" TargetMode="External"/><Relationship Id="rId28" Type="http://schemas.openxmlformats.org/officeDocument/2006/relationships/hyperlink" Target="https://developers.google.com/search/docs/essentials/technical" TargetMode="External"/><Relationship Id="rId27" Type="http://schemas.openxmlformats.org/officeDocument/2006/relationships/hyperlink" Target="https://developers.google.com/search/docs/essentials/technical" TargetMode="External"/><Relationship Id="rId29" Type="http://schemas.openxmlformats.org/officeDocument/2006/relationships/hyperlink" Target="https://developers.google.com/search/docs/crawling-indexing/googlebot" TargetMode="External"/><Relationship Id="rId11" Type="http://schemas.openxmlformats.org/officeDocument/2006/relationships/hyperlink" Target="https://developers.google.com/search/docs/crawling-indexing/robots/robots_txt" TargetMode="External"/><Relationship Id="rId10" Type="http://schemas.openxmlformats.org/officeDocument/2006/relationships/hyperlink" Target="https://developers.google.com/search/docs/crawling-indexing/robots/robots_txt" TargetMode="External"/><Relationship Id="rId13" Type="http://schemas.openxmlformats.org/officeDocument/2006/relationships/hyperlink" Target="https://developers.google.com/search/docs/crawling-indexing/sitemaps/build-sitemap" TargetMode="External"/><Relationship Id="rId12" Type="http://schemas.openxmlformats.org/officeDocument/2006/relationships/hyperlink" Target="https://developers.google.com/search/docs/crawling-indexing/sitemaps/build-sitemap" TargetMode="External"/><Relationship Id="rId15" Type="http://schemas.openxmlformats.org/officeDocument/2006/relationships/hyperlink" Target="https://developers.google.com/search/docs/crawling-indexing/sitemaps/build-sitemap" TargetMode="External"/><Relationship Id="rId198" Type="http://schemas.openxmlformats.org/officeDocument/2006/relationships/hyperlink" Target="https://web.dev/articles/vitals" TargetMode="External"/><Relationship Id="rId14" Type="http://schemas.openxmlformats.org/officeDocument/2006/relationships/hyperlink" Target="https://developers.google.com/search/docs/crawling-indexing/sitemaps/build-sitemap" TargetMode="External"/><Relationship Id="rId197" Type="http://schemas.openxmlformats.org/officeDocument/2006/relationships/hyperlink" Target="https://web.dev/articles/vitals" TargetMode="External"/><Relationship Id="rId17" Type="http://schemas.openxmlformats.org/officeDocument/2006/relationships/hyperlink" Target="https://developers.google.com/search/docs/crawling-indexing/sitemaps/build-sitemap" TargetMode="External"/><Relationship Id="rId196" Type="http://schemas.openxmlformats.org/officeDocument/2006/relationships/hyperlink" Target="https://web.dev/articles/vitals" TargetMode="External"/><Relationship Id="rId16" Type="http://schemas.openxmlformats.org/officeDocument/2006/relationships/hyperlink" Target="https://developers.google.com/search/docs/crawling-indexing/sitemaps/build-sitemap" TargetMode="External"/><Relationship Id="rId195" Type="http://schemas.openxmlformats.org/officeDocument/2006/relationships/hyperlink" Target="https://web.dev/articles/vitals" TargetMode="External"/><Relationship Id="rId19" Type="http://schemas.openxmlformats.org/officeDocument/2006/relationships/hyperlink" Target="https://developers.google.com/search/docs/crawling-indexing/http-network-errors" TargetMode="External"/><Relationship Id="rId18" Type="http://schemas.openxmlformats.org/officeDocument/2006/relationships/hyperlink" Target="https://developers.google.com/search/docs/crawling-indexing/sitemaps/build-sitemap" TargetMode="External"/><Relationship Id="rId199" Type="http://schemas.openxmlformats.org/officeDocument/2006/relationships/hyperlink" Target="https://developer.chrome.com/docs/crux/api" TargetMode="External"/><Relationship Id="rId84" Type="http://schemas.openxmlformats.org/officeDocument/2006/relationships/hyperlink" Target="https://developers.google.com/search/docs/crawling-indexing/robots-meta-tag" TargetMode="External"/><Relationship Id="rId83" Type="http://schemas.openxmlformats.org/officeDocument/2006/relationships/hyperlink" Target="https://developers.google.com/search/docs/crawling-indexing/robots-meta-tag" TargetMode="External"/><Relationship Id="rId86" Type="http://schemas.openxmlformats.org/officeDocument/2006/relationships/hyperlink" Target="https://developers.google.com/search/docs/crawling-indexing/robots-meta-tag" TargetMode="External"/><Relationship Id="rId85" Type="http://schemas.openxmlformats.org/officeDocument/2006/relationships/hyperlink" Target="https://developers.google.com/search/docs/crawling-indexing/robots-meta-tag" TargetMode="External"/><Relationship Id="rId88" Type="http://schemas.openxmlformats.org/officeDocument/2006/relationships/hyperlink" Target="https://developers.google.com/search/docs/crawling-indexing/robots-meta-tag" TargetMode="External"/><Relationship Id="rId150" Type="http://schemas.openxmlformats.org/officeDocument/2006/relationships/hyperlink" Target="https://developers.google.com/search/docs/appearance/structured-data/sd-policies" TargetMode="External"/><Relationship Id="rId271" Type="http://schemas.openxmlformats.org/officeDocument/2006/relationships/hyperlink" Target="https://developers.google.com/search/docs/crawling-indexing/javascript/javascript-seo-basics" TargetMode="External"/><Relationship Id="rId87" Type="http://schemas.openxmlformats.org/officeDocument/2006/relationships/hyperlink" Target="https://developers.google.com/search/docs/crawling-indexing/robots-meta-tag" TargetMode="External"/><Relationship Id="rId270" Type="http://schemas.openxmlformats.org/officeDocument/2006/relationships/hyperlink" Target="https://developers.google.com/search/docs/crawling-indexing/javascript/javascript-seo-basics" TargetMode="External"/><Relationship Id="rId89" Type="http://schemas.openxmlformats.org/officeDocument/2006/relationships/hyperlink" Target="https://developers.google.com/search/docs/crawling-indexing/robots-meta-tag" TargetMode="External"/><Relationship Id="rId80" Type="http://schemas.openxmlformats.org/officeDocument/2006/relationships/hyperlink" Target="https://developers.google.com/search/docs/crawling-indexing/robots-meta-tag" TargetMode="External"/><Relationship Id="rId82" Type="http://schemas.openxmlformats.org/officeDocument/2006/relationships/hyperlink" Target="https://developers.google.com/search/docs/crawling-indexing/robots-meta-tag" TargetMode="External"/><Relationship Id="rId81" Type="http://schemas.openxmlformats.org/officeDocument/2006/relationships/hyperlink" Target="https://developers.google.com/search/docs/crawling-indexing/robots-meta-tag" TargetMode="External"/><Relationship Id="rId1" Type="http://schemas.openxmlformats.org/officeDocument/2006/relationships/hyperlink" Target="https://developers.google.com/search/docs/crawling-indexing/robots/robots_txt" TargetMode="External"/><Relationship Id="rId2" Type="http://schemas.openxmlformats.org/officeDocument/2006/relationships/hyperlink" Target="https://developers.google.com/search/docs/crawling-indexing/robots/robots_txt" TargetMode="External"/><Relationship Id="rId3" Type="http://schemas.openxmlformats.org/officeDocument/2006/relationships/hyperlink" Target="https://developers.google.com/search/docs/crawling-indexing/robots/robots_txt" TargetMode="External"/><Relationship Id="rId149" Type="http://schemas.openxmlformats.org/officeDocument/2006/relationships/hyperlink" Target="https://developers.google.com/search/docs/appearance/structured-data/sd-policies" TargetMode="External"/><Relationship Id="rId4" Type="http://schemas.openxmlformats.org/officeDocument/2006/relationships/hyperlink" Target="https://developers.google.com/search/docs/crawling-indexing/robots/robots_txt" TargetMode="External"/><Relationship Id="rId148" Type="http://schemas.openxmlformats.org/officeDocument/2006/relationships/hyperlink" Target="https://developers.google.com/search/docs/appearance/structured-data/sd-policies" TargetMode="External"/><Relationship Id="rId269" Type="http://schemas.openxmlformats.org/officeDocument/2006/relationships/hyperlink" Target="https://developers.google.com/search/docs/crawling-indexing/javascript/javascript-seo-basics" TargetMode="External"/><Relationship Id="rId9" Type="http://schemas.openxmlformats.org/officeDocument/2006/relationships/hyperlink" Target="https://developers.google.com/search/docs/crawling-indexing/robots/robots_txt" TargetMode="External"/><Relationship Id="rId143" Type="http://schemas.openxmlformats.org/officeDocument/2006/relationships/hyperlink" Target="https://developers.google.com/search/docs/crawling-indexing/javascript/javascript-seo-basics" TargetMode="External"/><Relationship Id="rId264" Type="http://schemas.openxmlformats.org/officeDocument/2006/relationships/hyperlink" Target="https://developers.google.com/search/docs/crawling-indexing/javascript/javascript-seo-basics" TargetMode="External"/><Relationship Id="rId142" Type="http://schemas.openxmlformats.org/officeDocument/2006/relationships/hyperlink" Target="https://ahrefs.com/blog/anchor-text/" TargetMode="External"/><Relationship Id="rId263" Type="http://schemas.openxmlformats.org/officeDocument/2006/relationships/hyperlink" Target="https://developers.google.com/search/docs/crawling-indexing/javascript/javascript-seo-basics" TargetMode="External"/><Relationship Id="rId141" Type="http://schemas.openxmlformats.org/officeDocument/2006/relationships/hyperlink" Target="https://ahrefs.com/blog/internal-links-for-seo/" TargetMode="External"/><Relationship Id="rId262" Type="http://schemas.openxmlformats.org/officeDocument/2006/relationships/hyperlink" Target="https://developers.google.com/search/docs/appearance/ai-features" TargetMode="External"/><Relationship Id="rId140" Type="http://schemas.openxmlformats.org/officeDocument/2006/relationships/hyperlink" Target="https://developers.google.com/search/docs/crawling-indexing/javascript/javascript-seo-basics" TargetMode="External"/><Relationship Id="rId261" Type="http://schemas.openxmlformats.org/officeDocument/2006/relationships/hyperlink" Target="https://developers.google.com/search/docs/appearance/ai-features" TargetMode="External"/><Relationship Id="rId5" Type="http://schemas.openxmlformats.org/officeDocument/2006/relationships/hyperlink" Target="https://developers.google.com/search/docs/crawling-indexing/robots/robots_txt" TargetMode="External"/><Relationship Id="rId147" Type="http://schemas.openxmlformats.org/officeDocument/2006/relationships/hyperlink" Target="https://developers.google.com/search/docs/crawling-indexing/javascript/javascript-seo-basics" TargetMode="External"/><Relationship Id="rId268" Type="http://schemas.openxmlformats.org/officeDocument/2006/relationships/hyperlink" Target="https://developers.google.com/search/docs/crawling-indexing/javascript/javascript-seo-basics" TargetMode="External"/><Relationship Id="rId6" Type="http://schemas.openxmlformats.org/officeDocument/2006/relationships/hyperlink" Target="https://developers.google.com/search/docs/crawling-indexing/robots/robots_txt" TargetMode="External"/><Relationship Id="rId146" Type="http://schemas.openxmlformats.org/officeDocument/2006/relationships/hyperlink" Target="https://developers.google.com/search/docs/crawling-indexing/javascript/javascript-seo-basics" TargetMode="External"/><Relationship Id="rId267" Type="http://schemas.openxmlformats.org/officeDocument/2006/relationships/hyperlink" Target="https://developers.google.com/search/docs/crawling-indexing/javascript/javascript-seo-basics" TargetMode="External"/><Relationship Id="rId7" Type="http://schemas.openxmlformats.org/officeDocument/2006/relationships/hyperlink" Target="https://developers.google.com/search/docs/crawling-indexing/robots/robots_txt" TargetMode="External"/><Relationship Id="rId145" Type="http://schemas.openxmlformats.org/officeDocument/2006/relationships/hyperlink" Target="https://developers.google.com/search/docs/crawling-indexing/javascript/javascript-seo-basics" TargetMode="External"/><Relationship Id="rId266" Type="http://schemas.openxmlformats.org/officeDocument/2006/relationships/hyperlink" Target="https://developers.google.com/search/docs/crawling-indexing/javascript/javascript-seo-basics" TargetMode="External"/><Relationship Id="rId8" Type="http://schemas.openxmlformats.org/officeDocument/2006/relationships/hyperlink" Target="https://developers.google.com/search/docs/crawling-indexing/robots/robots_txt" TargetMode="External"/><Relationship Id="rId144" Type="http://schemas.openxmlformats.org/officeDocument/2006/relationships/hyperlink" Target="https://developers.google.com/search/docs/crawling-indexing/javascript/javascript-seo-basics" TargetMode="External"/><Relationship Id="rId265" Type="http://schemas.openxmlformats.org/officeDocument/2006/relationships/hyperlink" Target="https://developers.google.com/search/docs/crawling-indexing/javascript/javascript-seo-basics" TargetMode="External"/><Relationship Id="rId73" Type="http://schemas.openxmlformats.org/officeDocument/2006/relationships/hyperlink" Target="https://developers.google.com/search/docs/crawling-indexing/robots-meta-tag" TargetMode="External"/><Relationship Id="rId72" Type="http://schemas.openxmlformats.org/officeDocument/2006/relationships/hyperlink" Target="https://developers.google.com/search/docs/crawling-indexing/robots-meta-tag" TargetMode="External"/><Relationship Id="rId75" Type="http://schemas.openxmlformats.org/officeDocument/2006/relationships/hyperlink" Target="https://developers.google.com/search/docs/crawling-indexing/robots-meta-tag" TargetMode="External"/><Relationship Id="rId74" Type="http://schemas.openxmlformats.org/officeDocument/2006/relationships/hyperlink" Target="https://developers.google.com/search/docs/crawling-indexing/robots-meta-tag" TargetMode="External"/><Relationship Id="rId77" Type="http://schemas.openxmlformats.org/officeDocument/2006/relationships/hyperlink" Target="https://developers.google.com/search/docs/crawling-indexing/robots-meta-tag" TargetMode="External"/><Relationship Id="rId260" Type="http://schemas.openxmlformats.org/officeDocument/2006/relationships/hyperlink" Target="https://developers.google.com/search/docs/appearance/ai-features" TargetMode="External"/><Relationship Id="rId76" Type="http://schemas.openxmlformats.org/officeDocument/2006/relationships/hyperlink" Target="https://developers.google.com/search/docs/crawling-indexing/robots-meta-tag" TargetMode="External"/><Relationship Id="rId79" Type="http://schemas.openxmlformats.org/officeDocument/2006/relationships/hyperlink" Target="https://developers.google.com/search/docs/crawling-indexing/robots-meta-tag" TargetMode="External"/><Relationship Id="rId78" Type="http://schemas.openxmlformats.org/officeDocument/2006/relationships/hyperlink" Target="https://developers.google.com/search/docs/crawling-indexing/robots-meta-tag" TargetMode="External"/><Relationship Id="rId71" Type="http://schemas.openxmlformats.org/officeDocument/2006/relationships/hyperlink" Target="https://developers.google.com/search/docs/crawling-indexing/robots-meta-tag" TargetMode="External"/><Relationship Id="rId70" Type="http://schemas.openxmlformats.org/officeDocument/2006/relationships/hyperlink" Target="https://developers.google.com/search/docs/crawling-indexing/consolidate-duplicate-urls" TargetMode="External"/><Relationship Id="rId139" Type="http://schemas.openxmlformats.org/officeDocument/2006/relationships/hyperlink" Target="https://developers.google.com/search/docs/crawling-indexing/javascript/javascript-seo-basics" TargetMode="External"/><Relationship Id="rId138" Type="http://schemas.openxmlformats.org/officeDocument/2006/relationships/hyperlink" Target="https://developers.google.com/search/docs/crawling-indexing/javascript/javascript-seo-basics" TargetMode="External"/><Relationship Id="rId259" Type="http://schemas.openxmlformats.org/officeDocument/2006/relationships/hyperlink" Target="https://developers.google.com/search/docs/appearance/ai-features" TargetMode="External"/><Relationship Id="rId137" Type="http://schemas.openxmlformats.org/officeDocument/2006/relationships/hyperlink" Target="https://developers.google.com/search/docs/essentials/technical" TargetMode="External"/><Relationship Id="rId258" Type="http://schemas.openxmlformats.org/officeDocument/2006/relationships/hyperlink" Target="https://developers.google.com/search/docs/appearance/ai-features" TargetMode="External"/><Relationship Id="rId132" Type="http://schemas.openxmlformats.org/officeDocument/2006/relationships/hyperlink" Target="https://developers.google.com/search/docs/essentials/technical" TargetMode="External"/><Relationship Id="rId253" Type="http://schemas.openxmlformats.org/officeDocument/2006/relationships/hyperlink" Target="https://developers.google.com/search/docs/appearance/ai-features" TargetMode="External"/><Relationship Id="rId131" Type="http://schemas.openxmlformats.org/officeDocument/2006/relationships/hyperlink" Target="https://developers.google.com/search/docs/essentials/technical" TargetMode="External"/><Relationship Id="rId252" Type="http://schemas.openxmlformats.org/officeDocument/2006/relationships/hyperlink" Target="https://developers.google.com/search/docs/appearance/ai-features" TargetMode="External"/><Relationship Id="rId130" Type="http://schemas.openxmlformats.org/officeDocument/2006/relationships/hyperlink" Target="https://developers.google.com/search/docs/essentials/technical" TargetMode="External"/><Relationship Id="rId251" Type="http://schemas.openxmlformats.org/officeDocument/2006/relationships/hyperlink" Target="https://developers.google.com/search/docs/appearance/ai-features" TargetMode="External"/><Relationship Id="rId250" Type="http://schemas.openxmlformats.org/officeDocument/2006/relationships/hyperlink" Target="https://developers.google.com/search/docs/appearance/ai-features" TargetMode="External"/><Relationship Id="rId136" Type="http://schemas.openxmlformats.org/officeDocument/2006/relationships/hyperlink" Target="https://developers.google.com/search/docs/essentials/technical" TargetMode="External"/><Relationship Id="rId257" Type="http://schemas.openxmlformats.org/officeDocument/2006/relationships/hyperlink" Target="https://developers.google.com/search/docs/appearance/ai-features" TargetMode="External"/><Relationship Id="rId135" Type="http://schemas.openxmlformats.org/officeDocument/2006/relationships/hyperlink" Target="https://developers.google.com/search/docs/essentials/technical" TargetMode="External"/><Relationship Id="rId256" Type="http://schemas.openxmlformats.org/officeDocument/2006/relationships/hyperlink" Target="https://developers.google.com/search/docs/appearance/ai-features" TargetMode="External"/><Relationship Id="rId134" Type="http://schemas.openxmlformats.org/officeDocument/2006/relationships/hyperlink" Target="https://developers.google.com/search/docs/essentials/technical" TargetMode="External"/><Relationship Id="rId255" Type="http://schemas.openxmlformats.org/officeDocument/2006/relationships/hyperlink" Target="https://developers.google.com/search/docs/appearance/ai-features" TargetMode="External"/><Relationship Id="rId133" Type="http://schemas.openxmlformats.org/officeDocument/2006/relationships/hyperlink" Target="https://developers.google.com/search/docs/essentials/technical" TargetMode="External"/><Relationship Id="rId254" Type="http://schemas.openxmlformats.org/officeDocument/2006/relationships/hyperlink" Target="https://developers.google.com/search/docs/appearance/ai-features" TargetMode="External"/><Relationship Id="rId62" Type="http://schemas.openxmlformats.org/officeDocument/2006/relationships/hyperlink" Target="https://developers.google.com/search/docs/crawling-indexing/consolidate-duplicate-urls" TargetMode="External"/><Relationship Id="rId61" Type="http://schemas.openxmlformats.org/officeDocument/2006/relationships/hyperlink" Target="https://developers.google.com/search/docs/crawling-indexing/consolidate-duplicate-urls" TargetMode="External"/><Relationship Id="rId64" Type="http://schemas.openxmlformats.org/officeDocument/2006/relationships/hyperlink" Target="https://developers.google.com/search/docs/crawling-indexing/consolidate-duplicate-urls" TargetMode="External"/><Relationship Id="rId63" Type="http://schemas.openxmlformats.org/officeDocument/2006/relationships/hyperlink" Target="https://developers.google.com/search/docs/crawling-indexing/consolidate-duplicate-urls" TargetMode="External"/><Relationship Id="rId66" Type="http://schemas.openxmlformats.org/officeDocument/2006/relationships/hyperlink" Target="https://developers.google.com/search/docs/crawling-indexing/consolidate-duplicate-urls" TargetMode="External"/><Relationship Id="rId172" Type="http://schemas.openxmlformats.org/officeDocument/2006/relationships/hyperlink" Target="https://developers.google.com/search/docs/appearance/structured-data/sd-policies" TargetMode="External"/><Relationship Id="rId293" Type="http://schemas.openxmlformats.org/officeDocument/2006/relationships/hyperlink" Target="https://developers.google.com/search/docs/appearance/ai-features" TargetMode="External"/><Relationship Id="rId65" Type="http://schemas.openxmlformats.org/officeDocument/2006/relationships/hyperlink" Target="https://developers.google.com/search/docs/crawling-indexing/consolidate-duplicate-urls" TargetMode="External"/><Relationship Id="rId171" Type="http://schemas.openxmlformats.org/officeDocument/2006/relationships/hyperlink" Target="https://developers.google.com/search/docs/appearance/structured-data/organization" TargetMode="External"/><Relationship Id="rId292" Type="http://schemas.openxmlformats.org/officeDocument/2006/relationships/hyperlink" Target="https://developers.google.com/search/docs/appearance/ai-features" TargetMode="External"/><Relationship Id="rId68" Type="http://schemas.openxmlformats.org/officeDocument/2006/relationships/hyperlink" Target="https://developers.google.com/search/docs/crawling-indexing/consolidate-duplicate-urls" TargetMode="External"/><Relationship Id="rId170" Type="http://schemas.openxmlformats.org/officeDocument/2006/relationships/hyperlink" Target="https://developers.google.com/search/docs/appearance/structured-data/sd-policies" TargetMode="External"/><Relationship Id="rId291" Type="http://schemas.openxmlformats.org/officeDocument/2006/relationships/hyperlink" Target="https://developers.google.com/search/docs/appearance/ai-features" TargetMode="External"/><Relationship Id="rId67" Type="http://schemas.openxmlformats.org/officeDocument/2006/relationships/hyperlink" Target="https://developers.google.com/search/docs/crawling-indexing/consolidate-duplicate-urls" TargetMode="External"/><Relationship Id="rId290" Type="http://schemas.openxmlformats.org/officeDocument/2006/relationships/hyperlink" Target="https://developers.google.com/search/docs/appearance/ai-features" TargetMode="External"/><Relationship Id="rId60" Type="http://schemas.openxmlformats.org/officeDocument/2006/relationships/hyperlink" Target="https://developers.google.com/search/docs/crawling-indexing/consolidate-duplicate-urls" TargetMode="External"/><Relationship Id="rId165" Type="http://schemas.openxmlformats.org/officeDocument/2006/relationships/hyperlink" Target="https://developers.google.com/search/docs/appearance/structured-data/sd-policies" TargetMode="External"/><Relationship Id="rId286" Type="http://schemas.openxmlformats.org/officeDocument/2006/relationships/hyperlink" Target="https://developers.google.com/search/docs/appearance/ai-features" TargetMode="External"/><Relationship Id="rId69" Type="http://schemas.openxmlformats.org/officeDocument/2006/relationships/hyperlink" Target="https://developers.google.com/search/docs/crawling-indexing/consolidate-duplicate-urls" TargetMode="External"/><Relationship Id="rId164" Type="http://schemas.openxmlformats.org/officeDocument/2006/relationships/hyperlink" Target="https://developers.google.com/search/docs/appearance/structured-data/sd-policies" TargetMode="External"/><Relationship Id="rId285" Type="http://schemas.openxmlformats.org/officeDocument/2006/relationships/hyperlink" Target="https://developers.google.com/search/docs/appearance/structured-data/organization" TargetMode="External"/><Relationship Id="rId163" Type="http://schemas.openxmlformats.org/officeDocument/2006/relationships/hyperlink" Target="https://developers.google.com/search/docs/appearance/structured-data/sd-policies" TargetMode="External"/><Relationship Id="rId284" Type="http://schemas.openxmlformats.org/officeDocument/2006/relationships/hyperlink" Target="https://developers.google.com/search/docs/appearance/structured-data/organization" TargetMode="External"/><Relationship Id="rId162" Type="http://schemas.openxmlformats.org/officeDocument/2006/relationships/hyperlink" Target="https://developers.google.com/search/docs/appearance/structured-data/sd-policies" TargetMode="External"/><Relationship Id="rId283" Type="http://schemas.openxmlformats.org/officeDocument/2006/relationships/hyperlink" Target="https://developers.google.com/search/docs/appearance/structured-data/organization" TargetMode="External"/><Relationship Id="rId169" Type="http://schemas.openxmlformats.org/officeDocument/2006/relationships/hyperlink" Target="https://developers.google.com/search/docs/appearance/structured-data/sd-policies" TargetMode="External"/><Relationship Id="rId168" Type="http://schemas.openxmlformats.org/officeDocument/2006/relationships/hyperlink" Target="https://developers.google.com/search/docs/appearance/structured-data/sd-policies" TargetMode="External"/><Relationship Id="rId289" Type="http://schemas.openxmlformats.org/officeDocument/2006/relationships/hyperlink" Target="https://developers.google.com/search/docs/appearance/ai-features" TargetMode="External"/><Relationship Id="rId167" Type="http://schemas.openxmlformats.org/officeDocument/2006/relationships/hyperlink" Target="https://developers.google.com/search/docs/appearance/structured-data/sd-policies" TargetMode="External"/><Relationship Id="rId288" Type="http://schemas.openxmlformats.org/officeDocument/2006/relationships/hyperlink" Target="https://developers.google.com/search/docs/appearance/ai-features" TargetMode="External"/><Relationship Id="rId166" Type="http://schemas.openxmlformats.org/officeDocument/2006/relationships/hyperlink" Target="https://developers.google.com/search/docs/appearance/structured-data/sd-policies" TargetMode="External"/><Relationship Id="rId287" Type="http://schemas.openxmlformats.org/officeDocument/2006/relationships/hyperlink" Target="https://developers.google.com/search/docs/appearance/ai-features" TargetMode="External"/><Relationship Id="rId51" Type="http://schemas.openxmlformats.org/officeDocument/2006/relationships/hyperlink" Target="https://developers.google.com/search/docs/crawling-indexing/consolidate-duplicate-urls" TargetMode="External"/><Relationship Id="rId50" Type="http://schemas.openxmlformats.org/officeDocument/2006/relationships/hyperlink" Target="https://developers.google.com/search/docs/crawling-indexing/http-network-errors" TargetMode="External"/><Relationship Id="rId53" Type="http://schemas.openxmlformats.org/officeDocument/2006/relationships/hyperlink" Target="https://developers.google.com/search/docs/crawling-indexing/consolidate-duplicate-urls" TargetMode="External"/><Relationship Id="rId52" Type="http://schemas.openxmlformats.org/officeDocument/2006/relationships/hyperlink" Target="https://developers.google.com/search/docs/crawling-indexing/consolidate-duplicate-urls" TargetMode="External"/><Relationship Id="rId55" Type="http://schemas.openxmlformats.org/officeDocument/2006/relationships/hyperlink" Target="https://developers.google.com/search/docs/crawling-indexing/consolidate-duplicate-urls" TargetMode="External"/><Relationship Id="rId161" Type="http://schemas.openxmlformats.org/officeDocument/2006/relationships/hyperlink" Target="https://developers.google.com/search/docs/appearance/structured-data/sd-policies" TargetMode="External"/><Relationship Id="rId282" Type="http://schemas.openxmlformats.org/officeDocument/2006/relationships/hyperlink" Target="https://developers.google.com/search/docs/appearance/structured-data/organization" TargetMode="External"/><Relationship Id="rId54" Type="http://schemas.openxmlformats.org/officeDocument/2006/relationships/hyperlink" Target="https://developers.google.com/search/docs/crawling-indexing/consolidate-duplicate-urls" TargetMode="External"/><Relationship Id="rId160" Type="http://schemas.openxmlformats.org/officeDocument/2006/relationships/hyperlink" Target="https://developers.google.com/search/docs/appearance/structured-data/sd-policies" TargetMode="External"/><Relationship Id="rId281" Type="http://schemas.openxmlformats.org/officeDocument/2006/relationships/hyperlink" Target="https://developers.google.com/search/docs/appearance/structured-data/organization" TargetMode="External"/><Relationship Id="rId57" Type="http://schemas.openxmlformats.org/officeDocument/2006/relationships/hyperlink" Target="https://developers.google.com/search/docs/crawling-indexing/consolidate-duplicate-urls" TargetMode="External"/><Relationship Id="rId280" Type="http://schemas.openxmlformats.org/officeDocument/2006/relationships/hyperlink" Target="https://developers.google.com/search/docs/appearance/structured-data/organization" TargetMode="External"/><Relationship Id="rId56" Type="http://schemas.openxmlformats.org/officeDocument/2006/relationships/hyperlink" Target="https://developers.google.com/search/docs/crawling-indexing/consolidate-duplicate-urls" TargetMode="External"/><Relationship Id="rId159" Type="http://schemas.openxmlformats.org/officeDocument/2006/relationships/hyperlink" Target="https://developers.google.com/search/docs/appearance/structured-data/sd-policies" TargetMode="External"/><Relationship Id="rId59" Type="http://schemas.openxmlformats.org/officeDocument/2006/relationships/hyperlink" Target="https://developers.google.com/search/docs/crawling-indexing/consolidate-duplicate-urls" TargetMode="External"/><Relationship Id="rId154" Type="http://schemas.openxmlformats.org/officeDocument/2006/relationships/hyperlink" Target="https://developers.google.com/search/docs/appearance/structured-data/sd-policies" TargetMode="External"/><Relationship Id="rId275" Type="http://schemas.openxmlformats.org/officeDocument/2006/relationships/hyperlink" Target="https://developers.google.com/search/docs/crawling-indexing/javascript/javascript-seo-basics" TargetMode="External"/><Relationship Id="rId58" Type="http://schemas.openxmlformats.org/officeDocument/2006/relationships/hyperlink" Target="https://developers.google.com/search/docs/crawling-indexing/consolidate-duplicate-urls" TargetMode="External"/><Relationship Id="rId153" Type="http://schemas.openxmlformats.org/officeDocument/2006/relationships/hyperlink" Target="https://developers.google.com/search/docs/appearance/structured-data/sd-policies" TargetMode="External"/><Relationship Id="rId274" Type="http://schemas.openxmlformats.org/officeDocument/2006/relationships/hyperlink" Target="https://developers.google.com/search/docs/crawling-indexing/javascript/javascript-seo-basics" TargetMode="External"/><Relationship Id="rId152" Type="http://schemas.openxmlformats.org/officeDocument/2006/relationships/hyperlink" Target="https://schema.org/" TargetMode="External"/><Relationship Id="rId273" Type="http://schemas.openxmlformats.org/officeDocument/2006/relationships/hyperlink" Target="https://developers.google.com/search/docs/crawling-indexing/javascript/javascript-seo-basics" TargetMode="External"/><Relationship Id="rId151" Type="http://schemas.openxmlformats.org/officeDocument/2006/relationships/hyperlink" Target="https://developers.google.com/search/docs/appearance/structured-data/sd-policies" TargetMode="External"/><Relationship Id="rId272" Type="http://schemas.openxmlformats.org/officeDocument/2006/relationships/hyperlink" Target="https://developers.google.com/search/docs/crawling-indexing/javascript/javascript-seo-basics" TargetMode="External"/><Relationship Id="rId158" Type="http://schemas.openxmlformats.org/officeDocument/2006/relationships/hyperlink" Target="https://schema.org/" TargetMode="External"/><Relationship Id="rId279" Type="http://schemas.openxmlformats.org/officeDocument/2006/relationships/hyperlink" Target="https://developers.google.com/search/docs/appearance/structured-data/organization" TargetMode="External"/><Relationship Id="rId157" Type="http://schemas.openxmlformats.org/officeDocument/2006/relationships/hyperlink" Target="https://developers.google.com/search/docs/appearance/structured-data/sd-policies" TargetMode="External"/><Relationship Id="rId278" Type="http://schemas.openxmlformats.org/officeDocument/2006/relationships/hyperlink" Target="https://developers.google.com/search/docs/appearance/structured-data/organization" TargetMode="External"/><Relationship Id="rId156" Type="http://schemas.openxmlformats.org/officeDocument/2006/relationships/hyperlink" Target="https://developers.google.com/search/docs/appearance/structured-data/sd-policies" TargetMode="External"/><Relationship Id="rId277" Type="http://schemas.openxmlformats.org/officeDocument/2006/relationships/hyperlink" Target="https://developers.google.com/search/docs/crawling-indexing/javascript/javascript-seo-basics" TargetMode="External"/><Relationship Id="rId155" Type="http://schemas.openxmlformats.org/officeDocument/2006/relationships/hyperlink" Target="https://developers.google.com/search/docs/appearance/structured-data/sd-policies" TargetMode="External"/><Relationship Id="rId276" Type="http://schemas.openxmlformats.org/officeDocument/2006/relationships/hyperlink" Target="https://developers.google.com/search/docs/crawling-indexing/javascript/javascript-seo-basics" TargetMode="External"/><Relationship Id="rId107" Type="http://schemas.openxmlformats.org/officeDocument/2006/relationships/hyperlink" Target="https://developers.google.com/search/docs/appearance/title-link" TargetMode="External"/><Relationship Id="rId228" Type="http://schemas.openxmlformats.org/officeDocument/2006/relationships/hyperlink" Target="https://developers.google.com/search/docs/crawling-indexing/javascript/javascript-seo-basics" TargetMode="External"/><Relationship Id="rId106" Type="http://schemas.openxmlformats.org/officeDocument/2006/relationships/hyperlink" Target="https://developers.google.com/search/docs/appearance/title-link" TargetMode="External"/><Relationship Id="rId227" Type="http://schemas.openxmlformats.org/officeDocument/2006/relationships/hyperlink" Target="https://developers.google.com/search/docs/crawling-indexing/javascript/javascript-seo-basics" TargetMode="External"/><Relationship Id="rId105" Type="http://schemas.openxmlformats.org/officeDocument/2006/relationships/hyperlink" Target="https://developers.google.com/search/docs/appearance/title-link" TargetMode="External"/><Relationship Id="rId226" Type="http://schemas.openxmlformats.org/officeDocument/2006/relationships/hyperlink" Target="https://developers.google.com/search/docs/crawling-indexing/javascript/javascript-seo-basics" TargetMode="External"/><Relationship Id="rId104" Type="http://schemas.openxmlformats.org/officeDocument/2006/relationships/hyperlink" Target="https://developers.google.com/search/docs/appearance/title-link" TargetMode="External"/><Relationship Id="rId225" Type="http://schemas.openxmlformats.org/officeDocument/2006/relationships/hyperlink" Target="https://developers.google.com/search/docs/crawling-indexing/javascript/javascript-seo-basics" TargetMode="External"/><Relationship Id="rId109" Type="http://schemas.openxmlformats.org/officeDocument/2006/relationships/hyperlink" Target="https://developers.google.com/search/docs/appearance/title-link" TargetMode="External"/><Relationship Id="rId108" Type="http://schemas.openxmlformats.org/officeDocument/2006/relationships/hyperlink" Target="https://developers.google.com/search/docs/appearance/title-link" TargetMode="External"/><Relationship Id="rId229" Type="http://schemas.openxmlformats.org/officeDocument/2006/relationships/hyperlink" Target="https://developers.google.com/search/docs/crawling-indexing/javascript/javascript-seo-basics" TargetMode="External"/><Relationship Id="rId220" Type="http://schemas.openxmlformats.org/officeDocument/2006/relationships/hyperlink" Target="https://platform.openai.com/docs/bots" TargetMode="External"/><Relationship Id="rId103" Type="http://schemas.openxmlformats.org/officeDocument/2006/relationships/hyperlink" Target="https://developers.google.com/search/docs/appearance/title-link" TargetMode="External"/><Relationship Id="rId224" Type="http://schemas.openxmlformats.org/officeDocument/2006/relationships/hyperlink" Target="https://developers.google.com/search/docs/crawling-indexing/javascript/javascript-seo-basics" TargetMode="External"/><Relationship Id="rId102" Type="http://schemas.openxmlformats.org/officeDocument/2006/relationships/hyperlink" Target="https://developers.google.com/search/docs/crawling-indexing/javascript/javascript-seo-basics" TargetMode="External"/><Relationship Id="rId223" Type="http://schemas.openxmlformats.org/officeDocument/2006/relationships/hyperlink" Target="https://developers.google.com/search/docs/crawling-indexing/javascript/javascript-seo-basics" TargetMode="External"/><Relationship Id="rId101" Type="http://schemas.openxmlformats.org/officeDocument/2006/relationships/hyperlink" Target="https://developers.google.com/search/docs/appearance/title-link" TargetMode="External"/><Relationship Id="rId222" Type="http://schemas.openxmlformats.org/officeDocument/2006/relationships/hyperlink" Target="https://developers.google.com/search/docs/crawling-indexing/javascript/javascript-seo-basics" TargetMode="External"/><Relationship Id="rId100" Type="http://schemas.openxmlformats.org/officeDocument/2006/relationships/hyperlink" Target="https://developers.google.com/search/docs/appearance/title-link" TargetMode="External"/><Relationship Id="rId221" Type="http://schemas.openxmlformats.org/officeDocument/2006/relationships/hyperlink" Target="https://developers.google.com/search/docs/crawling-indexing/robots/robots_txt" TargetMode="External"/><Relationship Id="rId217" Type="http://schemas.openxmlformats.org/officeDocument/2006/relationships/hyperlink" Target="https://platform.openai.com/docs/bots" TargetMode="External"/><Relationship Id="rId216" Type="http://schemas.openxmlformats.org/officeDocument/2006/relationships/hyperlink" Target="https://platform.openai.com/docs/bots" TargetMode="External"/><Relationship Id="rId215" Type="http://schemas.openxmlformats.org/officeDocument/2006/relationships/hyperlink" Target="https://platform.openai.com/docs/bots" TargetMode="External"/><Relationship Id="rId214" Type="http://schemas.openxmlformats.org/officeDocument/2006/relationships/hyperlink" Target="https://platform.openai.com/docs/bots" TargetMode="External"/><Relationship Id="rId219" Type="http://schemas.openxmlformats.org/officeDocument/2006/relationships/hyperlink" Target="https://platform.openai.com/docs/bots" TargetMode="External"/><Relationship Id="rId218" Type="http://schemas.openxmlformats.org/officeDocument/2006/relationships/hyperlink" Target="https://platform.openai.com/docs/bots" TargetMode="External"/><Relationship Id="rId213" Type="http://schemas.openxmlformats.org/officeDocument/2006/relationships/hyperlink" Target="https://support.apple.com/en-us/119829" TargetMode="External"/><Relationship Id="rId212" Type="http://schemas.openxmlformats.org/officeDocument/2006/relationships/hyperlink" Target="https://developers.google.com/search/docs/crawling-indexing/google-common-crawlers" TargetMode="External"/><Relationship Id="rId211" Type="http://schemas.openxmlformats.org/officeDocument/2006/relationships/hyperlink" Target="https://platform.openai.com/docs/bots" TargetMode="External"/><Relationship Id="rId210" Type="http://schemas.openxmlformats.org/officeDocument/2006/relationships/hyperlink" Target="https://platform.openai.com/docs/bots" TargetMode="External"/><Relationship Id="rId129" Type="http://schemas.openxmlformats.org/officeDocument/2006/relationships/hyperlink" Target="https://developers.google.com/search/docs/essentials/technical" TargetMode="External"/><Relationship Id="rId128" Type="http://schemas.openxmlformats.org/officeDocument/2006/relationships/hyperlink" Target="https://developers.google.com/search/docs/essentials/technical" TargetMode="External"/><Relationship Id="rId249" Type="http://schemas.openxmlformats.org/officeDocument/2006/relationships/hyperlink" Target="https://llmstxt.org/" TargetMode="External"/><Relationship Id="rId127" Type="http://schemas.openxmlformats.org/officeDocument/2006/relationships/hyperlink" Target="https://developers.google.com/search/docs/essentials/technical" TargetMode="External"/><Relationship Id="rId248" Type="http://schemas.openxmlformats.org/officeDocument/2006/relationships/hyperlink" Target="https://llmstxt.org/" TargetMode="External"/><Relationship Id="rId126" Type="http://schemas.openxmlformats.org/officeDocument/2006/relationships/hyperlink" Target="https://developers.google.com/search/docs/essentials/technical" TargetMode="External"/><Relationship Id="rId247" Type="http://schemas.openxmlformats.org/officeDocument/2006/relationships/hyperlink" Target="https://llmstxt.org/" TargetMode="External"/><Relationship Id="rId121" Type="http://schemas.openxmlformats.org/officeDocument/2006/relationships/hyperlink" Target="https://developers.google.com/search/docs/appearance/snippet" TargetMode="External"/><Relationship Id="rId242" Type="http://schemas.openxmlformats.org/officeDocument/2006/relationships/hyperlink" Target="https://llmstxt.org/" TargetMode="External"/><Relationship Id="rId120" Type="http://schemas.openxmlformats.org/officeDocument/2006/relationships/hyperlink" Target="https://developers.google.com/search/docs/appearance/snippet" TargetMode="External"/><Relationship Id="rId241" Type="http://schemas.openxmlformats.org/officeDocument/2006/relationships/hyperlink" Target="https://llmstxt.org/" TargetMode="External"/><Relationship Id="rId240" Type="http://schemas.openxmlformats.org/officeDocument/2006/relationships/hyperlink" Target="https://llmstxt.org/" TargetMode="External"/><Relationship Id="rId125" Type="http://schemas.openxmlformats.org/officeDocument/2006/relationships/hyperlink" Target="https://developers.google.com/search/docs/essentials/technical" TargetMode="External"/><Relationship Id="rId246" Type="http://schemas.openxmlformats.org/officeDocument/2006/relationships/hyperlink" Target="https://llmstxt.org/" TargetMode="External"/><Relationship Id="rId124" Type="http://schemas.openxmlformats.org/officeDocument/2006/relationships/hyperlink" Target="https://developers.google.com/search/docs/essentials/technical" TargetMode="External"/><Relationship Id="rId245" Type="http://schemas.openxmlformats.org/officeDocument/2006/relationships/hyperlink" Target="https://llmstxt.org/" TargetMode="External"/><Relationship Id="rId123" Type="http://schemas.openxmlformats.org/officeDocument/2006/relationships/hyperlink" Target="https://developers.google.com/search/docs/essentials/technical" TargetMode="External"/><Relationship Id="rId244" Type="http://schemas.openxmlformats.org/officeDocument/2006/relationships/hyperlink" Target="https://llmstxt.org/" TargetMode="External"/><Relationship Id="rId122" Type="http://schemas.openxmlformats.org/officeDocument/2006/relationships/hyperlink" Target="https://developers.google.com/search/docs/appearance/snippet" TargetMode="External"/><Relationship Id="rId243" Type="http://schemas.openxmlformats.org/officeDocument/2006/relationships/hyperlink" Target="https://llmstxt.org/" TargetMode="External"/><Relationship Id="rId95" Type="http://schemas.openxmlformats.org/officeDocument/2006/relationships/hyperlink" Target="https://developers.google.com/search/docs/crawling-indexing/robots-meta-tag" TargetMode="External"/><Relationship Id="rId94" Type="http://schemas.openxmlformats.org/officeDocument/2006/relationships/hyperlink" Target="https://developers.google.com/search/docs/crawling-indexing/robots-meta-tag" TargetMode="External"/><Relationship Id="rId97" Type="http://schemas.openxmlformats.org/officeDocument/2006/relationships/hyperlink" Target="https://developers.google.com/search/docs/crawling-indexing/robots-meta-tag" TargetMode="External"/><Relationship Id="rId96" Type="http://schemas.openxmlformats.org/officeDocument/2006/relationships/hyperlink" Target="https://developers.google.com/search/docs/crawling-indexing/robots-meta-tag" TargetMode="External"/><Relationship Id="rId99" Type="http://schemas.openxmlformats.org/officeDocument/2006/relationships/hyperlink" Target="https://developers.google.com/search/docs/appearance/title-link" TargetMode="External"/><Relationship Id="rId98" Type="http://schemas.openxmlformats.org/officeDocument/2006/relationships/hyperlink" Target="https://developers.google.com/search/docs/appearance/title-link" TargetMode="External"/><Relationship Id="rId91" Type="http://schemas.openxmlformats.org/officeDocument/2006/relationships/hyperlink" Target="https://developers.google.com/search/docs/crawling-indexing/robots-meta-tag" TargetMode="External"/><Relationship Id="rId90" Type="http://schemas.openxmlformats.org/officeDocument/2006/relationships/hyperlink" Target="https://developers.google.com/search/docs/crawling-indexing/robots-meta-tag" TargetMode="External"/><Relationship Id="rId93" Type="http://schemas.openxmlformats.org/officeDocument/2006/relationships/hyperlink" Target="https://developers.google.com/search/docs/crawling-indexing/robots-meta-tag" TargetMode="External"/><Relationship Id="rId92" Type="http://schemas.openxmlformats.org/officeDocument/2006/relationships/hyperlink" Target="https://developers.google.com/search/docs/crawling-indexing/robots-meta-tag" TargetMode="External"/><Relationship Id="rId118" Type="http://schemas.openxmlformats.org/officeDocument/2006/relationships/hyperlink" Target="https://developers.google.com/search/docs/appearance/snippet" TargetMode="External"/><Relationship Id="rId239" Type="http://schemas.openxmlformats.org/officeDocument/2006/relationships/hyperlink" Target="https://llmstxt.org/" TargetMode="External"/><Relationship Id="rId117" Type="http://schemas.openxmlformats.org/officeDocument/2006/relationships/hyperlink" Target="https://developers.google.com/search/docs/appearance/snippet" TargetMode="External"/><Relationship Id="rId238" Type="http://schemas.openxmlformats.org/officeDocument/2006/relationships/hyperlink" Target="https://llmstxt.org/" TargetMode="External"/><Relationship Id="rId116" Type="http://schemas.openxmlformats.org/officeDocument/2006/relationships/hyperlink" Target="https://developers.google.com/search/docs/appearance/snippet" TargetMode="External"/><Relationship Id="rId237" Type="http://schemas.openxmlformats.org/officeDocument/2006/relationships/hyperlink" Target="https://llmstxt.org/" TargetMode="External"/><Relationship Id="rId115" Type="http://schemas.openxmlformats.org/officeDocument/2006/relationships/hyperlink" Target="https://developers.google.com/search/docs/appearance/snippet" TargetMode="External"/><Relationship Id="rId236" Type="http://schemas.openxmlformats.org/officeDocument/2006/relationships/hyperlink" Target="https://llmstxt.org/" TargetMode="External"/><Relationship Id="rId119" Type="http://schemas.openxmlformats.org/officeDocument/2006/relationships/hyperlink" Target="https://developers.google.com/search/docs/appearance/snippet" TargetMode="External"/><Relationship Id="rId110" Type="http://schemas.openxmlformats.org/officeDocument/2006/relationships/hyperlink" Target="https://developers.google.com/search/docs/appearance/title-link" TargetMode="External"/><Relationship Id="rId231" Type="http://schemas.openxmlformats.org/officeDocument/2006/relationships/hyperlink" Target="https://developers.google.com/search/docs/crawling-indexing/javascript/javascript-seo-basics" TargetMode="External"/><Relationship Id="rId230" Type="http://schemas.openxmlformats.org/officeDocument/2006/relationships/hyperlink" Target="https://developers.google.com/search/docs/crawling-indexing/javascript/javascript-seo-basics" TargetMode="External"/><Relationship Id="rId114" Type="http://schemas.openxmlformats.org/officeDocument/2006/relationships/hyperlink" Target="https://developers.google.com/search/docs/appearance/snippet" TargetMode="External"/><Relationship Id="rId235" Type="http://schemas.openxmlformats.org/officeDocument/2006/relationships/hyperlink" Target="https://developers.google.com/search/docs/crawling-indexing/javascript/javascript-seo-basics" TargetMode="External"/><Relationship Id="rId113" Type="http://schemas.openxmlformats.org/officeDocument/2006/relationships/hyperlink" Target="https://developers.google.com/search/docs/appearance/snippet" TargetMode="External"/><Relationship Id="rId234" Type="http://schemas.openxmlformats.org/officeDocument/2006/relationships/hyperlink" Target="https://developers.google.com/search/docs/crawling-indexing/javascript/javascript-seo-basics" TargetMode="External"/><Relationship Id="rId112" Type="http://schemas.openxmlformats.org/officeDocument/2006/relationships/hyperlink" Target="https://developers.google.com/search/docs/appearance/snippet" TargetMode="External"/><Relationship Id="rId233" Type="http://schemas.openxmlformats.org/officeDocument/2006/relationships/hyperlink" Target="https://developers.google.com/search/docs/crawling-indexing/javascript/javascript-seo-basics" TargetMode="External"/><Relationship Id="rId111" Type="http://schemas.openxmlformats.org/officeDocument/2006/relationships/hyperlink" Target="https://developers.google.com/search/docs/appearance/snippet" TargetMode="External"/><Relationship Id="rId232" Type="http://schemas.openxmlformats.org/officeDocument/2006/relationships/hyperlink" Target="https://developers.google.com/search/docs/crawling-indexing/javascript/javascript-seo-basics" TargetMode="External"/><Relationship Id="rId305" Type="http://schemas.openxmlformats.org/officeDocument/2006/relationships/hyperlink" Target="https://developers.google.com/search/docs/appearance/structured-data/sd-policies" TargetMode="External"/><Relationship Id="rId304" Type="http://schemas.openxmlformats.org/officeDocument/2006/relationships/hyperlink" Target="https://developers.google.com/search/docs/appearance/structured-data/sd-policies" TargetMode="External"/><Relationship Id="rId303" Type="http://schemas.openxmlformats.org/officeDocument/2006/relationships/hyperlink" Target="https://developers.google.com/search/docs/appearance/structured-data/sd-policies" TargetMode="External"/><Relationship Id="rId302" Type="http://schemas.openxmlformats.org/officeDocument/2006/relationships/hyperlink" Target="https://developers.google.com/search/docs/appearance/structured-data/sd-policies" TargetMode="External"/><Relationship Id="rId308" Type="http://schemas.openxmlformats.org/officeDocument/2006/relationships/drawing" Target="../drawings/drawing4.xml"/><Relationship Id="rId307" Type="http://schemas.openxmlformats.org/officeDocument/2006/relationships/hyperlink" Target="https://developers.google.com/search/docs/appearance/structured-data/sd-policies" TargetMode="External"/><Relationship Id="rId306" Type="http://schemas.openxmlformats.org/officeDocument/2006/relationships/hyperlink" Target="https://developers.google.com/search/docs/appearance/structured-data/sd-policies" TargetMode="External"/><Relationship Id="rId301" Type="http://schemas.openxmlformats.org/officeDocument/2006/relationships/hyperlink" Target="https://developers.google.com/search/docs/appearance/structured-data/sd-policies" TargetMode="External"/><Relationship Id="rId300" Type="http://schemas.openxmlformats.org/officeDocument/2006/relationships/hyperlink" Target="https://developers.google.com/search/docs/appearance/structured-data/sd-policies" TargetMode="External"/><Relationship Id="rId206" Type="http://schemas.openxmlformats.org/officeDocument/2006/relationships/hyperlink" Target="https://web.dev/articles/vitals" TargetMode="External"/><Relationship Id="rId205" Type="http://schemas.openxmlformats.org/officeDocument/2006/relationships/hyperlink" Target="https://web.dev/articles/vitals" TargetMode="External"/><Relationship Id="rId204" Type="http://schemas.openxmlformats.org/officeDocument/2006/relationships/hyperlink" Target="https://web.dev/articles/vitals" TargetMode="External"/><Relationship Id="rId203" Type="http://schemas.openxmlformats.org/officeDocument/2006/relationships/hyperlink" Target="https://web.dev/articles/vitals" TargetMode="External"/><Relationship Id="rId209" Type="http://schemas.openxmlformats.org/officeDocument/2006/relationships/hyperlink" Target="https://platform.openai.com/docs/bots" TargetMode="External"/><Relationship Id="rId208" Type="http://schemas.openxmlformats.org/officeDocument/2006/relationships/hyperlink" Target="https://platform.openai.com/docs/bots" TargetMode="External"/><Relationship Id="rId207" Type="http://schemas.openxmlformats.org/officeDocument/2006/relationships/hyperlink" Target="https://web.dev/articles/vitals" TargetMode="External"/><Relationship Id="rId202" Type="http://schemas.openxmlformats.org/officeDocument/2006/relationships/hyperlink" Target="https://web.dev/articles/vitals" TargetMode="External"/><Relationship Id="rId201" Type="http://schemas.openxmlformats.org/officeDocument/2006/relationships/hyperlink" Target="https://web.dev/articles/vitals" TargetMode="External"/><Relationship Id="rId200" Type="http://schemas.openxmlformats.org/officeDocument/2006/relationships/hyperlink" Target="https://web.dev/articles/vital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0"/>
    <col customWidth="1" min="2" max="2" width="12.0"/>
    <col customWidth="1" min="3" max="26" width="8.71"/>
  </cols>
  <sheetData>
    <row r="1">
      <c r="A1" s="2" t="s">
        <v>2</v>
      </c>
    </row>
    <row r="2">
      <c r="A2" s="3" t="s">
        <v>6</v>
      </c>
    </row>
    <row r="3">
      <c r="A3" s="3"/>
    </row>
    <row r="4">
      <c r="A4" s="4" t="s">
        <v>10</v>
      </c>
    </row>
    <row r="5" ht="45.75" customHeight="1">
      <c r="A5" s="3" t="s">
        <v>12</v>
      </c>
    </row>
    <row r="6">
      <c r="A6" s="3"/>
    </row>
    <row r="7">
      <c r="A7" s="4" t="s">
        <v>13</v>
      </c>
    </row>
    <row r="8" ht="45.75" customHeight="1">
      <c r="A8" s="3" t="s">
        <v>15</v>
      </c>
    </row>
    <row r="9">
      <c r="A9" s="3"/>
    </row>
    <row r="10">
      <c r="A10" s="4" t="s">
        <v>17</v>
      </c>
    </row>
    <row r="11" ht="45.75" customHeight="1">
      <c r="A11" s="3" t="s">
        <v>19</v>
      </c>
    </row>
    <row r="12">
      <c r="A12" s="3"/>
    </row>
    <row r="13">
      <c r="A13" s="4" t="s">
        <v>21</v>
      </c>
    </row>
    <row r="14" ht="45.75" customHeight="1">
      <c r="A14" s="3" t="s">
        <v>23</v>
      </c>
    </row>
    <row r="15">
      <c r="A15" s="3"/>
    </row>
    <row r="16">
      <c r="A16" s="4" t="s">
        <v>24</v>
      </c>
    </row>
    <row r="17">
      <c r="A17" s="6" t="s">
        <v>28</v>
      </c>
      <c r="B17" s="8">
        <f>COUNTIF(Checkpoints!I:I,"Google — documented")</f>
        <v>277</v>
      </c>
    </row>
    <row r="18">
      <c r="A18" s="10" t="s">
        <v>46</v>
      </c>
      <c r="B18" s="8">
        <f>COUNTIF(Checkpoints!I:I,"Standard")</f>
        <v>2</v>
      </c>
    </row>
    <row r="19">
      <c r="A19" s="13" t="s">
        <v>75</v>
      </c>
      <c r="B19" s="8">
        <f>COUNTIF(Checkpoints!I:I,"Vendor declaration")</f>
        <v>12</v>
      </c>
    </row>
    <row r="20">
      <c r="A20" s="14" t="s">
        <v>86</v>
      </c>
      <c r="B20" s="8">
        <f>COUNTIF(Checkpoints!I:I,"Industry research")</f>
        <v>2</v>
      </c>
    </row>
    <row r="21" ht="15.75" customHeight="1">
      <c r="A21" s="15" t="s">
        <v>95</v>
      </c>
      <c r="B21" s="8">
        <f>COUNTIF(Checkpoints!I:I,"Proposed — not adopted")</f>
        <v>14</v>
      </c>
    </row>
    <row r="22" ht="15.75" customHeight="1">
      <c r="A22" s="16" t="s">
        <v>106</v>
      </c>
      <c r="B22" s="8">
        <f>COUNTIF(Checkpoints!I:I,"Tool policy — no external source")</f>
        <v>15</v>
      </c>
    </row>
    <row r="23" ht="15.75" customHeight="1">
      <c r="A23" s="17" t="s">
        <v>113</v>
      </c>
      <c r="B23" s="17">
        <f>COUNTA(Checkpoints!B:B)-1</f>
        <v>322</v>
      </c>
    </row>
    <row r="24" ht="15.75" customHeight="1"/>
    <row r="25" ht="15.75" customHeight="1">
      <c r="A25" s="18" t="s">
        <v>125</v>
      </c>
      <c r="B25" s="17">
        <f>COUNTIF(Checkpoints!J:J,"Tool policy")</f>
        <v>106</v>
      </c>
    </row>
    <row r="26" ht="15.75" customHeight="1">
      <c r="A26" s="8" t="s">
        <v>134</v>
      </c>
      <c r="B26" s="8">
        <f>COUNTIF(Checkpoints!J:J,"Documented")</f>
        <v>7</v>
      </c>
    </row>
    <row r="27" ht="15.75" customHeight="1">
      <c r="A27" s="8" t="s">
        <v>141</v>
      </c>
      <c r="B27" s="8">
        <f>COUNTA(Unsourced!B:B)-1</f>
        <v>108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4.0"/>
    <col customWidth="1" min="3" max="3" width="46.0"/>
    <col customWidth="1" min="4" max="4" width="62.0"/>
    <col customWidth="1" min="5" max="5" width="24.0"/>
    <col customWidth="1" min="6" max="6" width="20.0"/>
    <col customWidth="1" min="7" max="7" width="70.0"/>
    <col customWidth="1" min="8" max="26" width="8.71"/>
  </cols>
  <sheetData>
    <row r="1" ht="30.0" customHeight="1">
      <c r="A1" s="1" t="s">
        <v>0</v>
      </c>
      <c r="B1" s="1" t="s">
        <v>3</v>
      </c>
      <c r="C1" s="1" t="s">
        <v>4</v>
      </c>
      <c r="D1" s="1" t="s">
        <v>5</v>
      </c>
      <c r="E1" s="1" t="s">
        <v>7</v>
      </c>
      <c r="F1" s="1" t="s">
        <v>8</v>
      </c>
      <c r="G1" s="1" t="s">
        <v>9</v>
      </c>
    </row>
    <row r="2">
      <c r="A2" s="5" t="s">
        <v>11</v>
      </c>
      <c r="B2" s="5" t="s">
        <v>25</v>
      </c>
      <c r="C2" s="5" t="s">
        <v>27</v>
      </c>
      <c r="D2" s="9" t="s">
        <v>29</v>
      </c>
      <c r="E2" s="11" t="s">
        <v>28</v>
      </c>
      <c r="F2" s="5" t="s">
        <v>47</v>
      </c>
      <c r="G2" s="5" t="s">
        <v>48</v>
      </c>
    </row>
    <row r="3">
      <c r="A3" s="5" t="s">
        <v>49</v>
      </c>
      <c r="B3" s="5" t="s">
        <v>25</v>
      </c>
      <c r="C3" s="5" t="s">
        <v>50</v>
      </c>
      <c r="D3" s="9" t="s">
        <v>51</v>
      </c>
      <c r="E3" s="11" t="s">
        <v>28</v>
      </c>
      <c r="F3" s="5" t="s">
        <v>47</v>
      </c>
      <c r="G3" s="5" t="s">
        <v>70</v>
      </c>
    </row>
    <row r="4">
      <c r="A4" s="5" t="s">
        <v>71</v>
      </c>
      <c r="B4" s="5" t="s">
        <v>72</v>
      </c>
      <c r="C4" s="5" t="s">
        <v>73</v>
      </c>
      <c r="D4" s="9" t="s">
        <v>74</v>
      </c>
      <c r="E4" s="11" t="s">
        <v>28</v>
      </c>
      <c r="F4" s="5" t="s">
        <v>47</v>
      </c>
      <c r="G4" s="5" t="s">
        <v>79</v>
      </c>
    </row>
    <row r="5">
      <c r="A5" s="5" t="s">
        <v>81</v>
      </c>
      <c r="B5" s="5" t="s">
        <v>25</v>
      </c>
      <c r="C5" s="5" t="s">
        <v>82</v>
      </c>
      <c r="D5" s="9" t="s">
        <v>85</v>
      </c>
      <c r="E5" s="11" t="s">
        <v>28</v>
      </c>
      <c r="F5" s="5" t="s">
        <v>47</v>
      </c>
      <c r="G5" s="5" t="s">
        <v>97</v>
      </c>
    </row>
    <row r="6">
      <c r="A6" s="5" t="s">
        <v>99</v>
      </c>
      <c r="B6" s="5" t="s">
        <v>25</v>
      </c>
      <c r="C6" s="5" t="s">
        <v>101</v>
      </c>
      <c r="D6" s="9" t="s">
        <v>103</v>
      </c>
      <c r="E6" s="11" t="s">
        <v>28</v>
      </c>
      <c r="F6" s="5" t="s">
        <v>47</v>
      </c>
      <c r="G6" s="5" t="s">
        <v>117</v>
      </c>
    </row>
    <row r="7">
      <c r="A7" s="5" t="s">
        <v>119</v>
      </c>
      <c r="B7" s="5" t="s">
        <v>25</v>
      </c>
      <c r="C7" s="5" t="s">
        <v>121</v>
      </c>
      <c r="D7" s="9" t="s">
        <v>68</v>
      </c>
      <c r="E7" s="11" t="s">
        <v>28</v>
      </c>
      <c r="F7" s="5" t="s">
        <v>47</v>
      </c>
      <c r="G7" s="5" t="s">
        <v>143</v>
      </c>
    </row>
    <row r="8">
      <c r="A8" s="5" t="s">
        <v>144</v>
      </c>
      <c r="B8" s="5" t="s">
        <v>145</v>
      </c>
      <c r="C8" s="5" t="s">
        <v>146</v>
      </c>
      <c r="D8" s="9" t="s">
        <v>147</v>
      </c>
      <c r="E8" s="19" t="s">
        <v>159</v>
      </c>
      <c r="F8" s="5" t="s">
        <v>160</v>
      </c>
      <c r="G8" s="5" t="s">
        <v>161</v>
      </c>
    </row>
    <row r="9">
      <c r="A9" s="5" t="s">
        <v>140</v>
      </c>
      <c r="B9" s="5" t="s">
        <v>25</v>
      </c>
      <c r="C9" s="5" t="s">
        <v>162</v>
      </c>
      <c r="D9" s="9" t="s">
        <v>142</v>
      </c>
      <c r="E9" s="11" t="s">
        <v>28</v>
      </c>
      <c r="F9" s="5" t="s">
        <v>47</v>
      </c>
      <c r="G9" s="5" t="s">
        <v>181</v>
      </c>
    </row>
    <row r="10">
      <c r="A10" s="5" t="s">
        <v>170</v>
      </c>
      <c r="B10" s="5" t="s">
        <v>25</v>
      </c>
      <c r="C10" s="5" t="s">
        <v>185</v>
      </c>
      <c r="D10" s="9" t="s">
        <v>172</v>
      </c>
      <c r="E10" s="11" t="s">
        <v>28</v>
      </c>
      <c r="F10" s="5" t="s">
        <v>47</v>
      </c>
      <c r="G10" s="5" t="s">
        <v>194</v>
      </c>
    </row>
    <row r="11">
      <c r="A11" s="5" t="s">
        <v>195</v>
      </c>
      <c r="B11" s="5" t="s">
        <v>25</v>
      </c>
      <c r="C11" s="5" t="s">
        <v>196</v>
      </c>
      <c r="D11" s="9" t="s">
        <v>198</v>
      </c>
      <c r="E11" s="11" t="s">
        <v>28</v>
      </c>
      <c r="F11" s="5" t="s">
        <v>47</v>
      </c>
      <c r="G11" s="5" t="s">
        <v>213</v>
      </c>
    </row>
    <row r="12">
      <c r="A12" s="5" t="s">
        <v>215</v>
      </c>
      <c r="B12" s="5" t="s">
        <v>25</v>
      </c>
      <c r="C12" s="5" t="s">
        <v>217</v>
      </c>
      <c r="D12" s="9" t="s">
        <v>218</v>
      </c>
      <c r="E12" s="11" t="s">
        <v>28</v>
      </c>
      <c r="F12" s="5" t="s">
        <v>47</v>
      </c>
      <c r="G12" s="5" t="s">
        <v>233</v>
      </c>
    </row>
    <row r="13">
      <c r="A13" s="5" t="s">
        <v>235</v>
      </c>
      <c r="B13" s="5" t="s">
        <v>25</v>
      </c>
      <c r="C13" s="5" t="s">
        <v>237</v>
      </c>
      <c r="D13" s="9" t="s">
        <v>238</v>
      </c>
      <c r="E13" s="11" t="s">
        <v>28</v>
      </c>
      <c r="F13" s="5" t="s">
        <v>47</v>
      </c>
      <c r="G13" s="5" t="s">
        <v>250</v>
      </c>
    </row>
    <row r="14">
      <c r="A14" s="5" t="s">
        <v>251</v>
      </c>
      <c r="B14" s="5" t="s">
        <v>25</v>
      </c>
      <c r="C14" s="5" t="s">
        <v>252</v>
      </c>
      <c r="D14" s="9" t="s">
        <v>253</v>
      </c>
      <c r="E14" s="11" t="s">
        <v>28</v>
      </c>
      <c r="F14" s="5" t="s">
        <v>160</v>
      </c>
      <c r="G14" s="5" t="s">
        <v>267</v>
      </c>
    </row>
    <row r="15">
      <c r="A15" s="5" t="s">
        <v>268</v>
      </c>
      <c r="B15" s="5" t="s">
        <v>25</v>
      </c>
      <c r="C15" s="5" t="s">
        <v>269</v>
      </c>
      <c r="D15" s="9" t="s">
        <v>270</v>
      </c>
      <c r="E15" s="11" t="s">
        <v>28</v>
      </c>
      <c r="F15" s="5" t="s">
        <v>160</v>
      </c>
      <c r="G15" s="5" t="s">
        <v>283</v>
      </c>
    </row>
    <row r="16">
      <c r="A16" s="5" t="s">
        <v>284</v>
      </c>
      <c r="B16" s="5" t="s">
        <v>25</v>
      </c>
      <c r="C16" s="5" t="s">
        <v>285</v>
      </c>
      <c r="D16" s="9" t="s">
        <v>208</v>
      </c>
      <c r="E16" s="11" t="s">
        <v>28</v>
      </c>
      <c r="F16" s="5" t="s">
        <v>47</v>
      </c>
      <c r="G16" s="5" t="s">
        <v>308</v>
      </c>
    </row>
    <row r="17">
      <c r="A17" s="5" t="s">
        <v>309</v>
      </c>
      <c r="B17" s="5" t="s">
        <v>25</v>
      </c>
      <c r="C17" s="5" t="s">
        <v>310</v>
      </c>
      <c r="D17" s="9" t="s">
        <v>246</v>
      </c>
      <c r="E17" s="11" t="s">
        <v>28</v>
      </c>
      <c r="F17" s="5" t="s">
        <v>160</v>
      </c>
      <c r="G17" s="5" t="s">
        <v>328</v>
      </c>
    </row>
    <row r="18">
      <c r="A18" s="5" t="s">
        <v>329</v>
      </c>
      <c r="B18" s="5" t="s">
        <v>25</v>
      </c>
      <c r="C18" s="5" t="s">
        <v>332</v>
      </c>
      <c r="D18" s="9" t="s">
        <v>336</v>
      </c>
      <c r="E18" s="11" t="s">
        <v>28</v>
      </c>
      <c r="F18" s="5" t="s">
        <v>160</v>
      </c>
      <c r="G18" s="5" t="s">
        <v>364</v>
      </c>
    </row>
    <row r="19">
      <c r="A19" s="5" t="s">
        <v>258</v>
      </c>
      <c r="B19" s="5" t="s">
        <v>25</v>
      </c>
      <c r="C19" s="5" t="s">
        <v>365</v>
      </c>
      <c r="D19" s="9" t="s">
        <v>249</v>
      </c>
      <c r="E19" s="11" t="s">
        <v>28</v>
      </c>
      <c r="F19" s="5" t="s">
        <v>47</v>
      </c>
      <c r="G19" s="5" t="s">
        <v>374</v>
      </c>
    </row>
    <row r="20">
      <c r="A20" s="5" t="s">
        <v>377</v>
      </c>
      <c r="B20" s="5" t="s">
        <v>25</v>
      </c>
      <c r="C20" s="5" t="s">
        <v>380</v>
      </c>
      <c r="D20" s="9" t="s">
        <v>382</v>
      </c>
      <c r="E20" s="11" t="s">
        <v>28</v>
      </c>
      <c r="F20" s="5" t="s">
        <v>47</v>
      </c>
      <c r="G20" s="5" t="s">
        <v>390</v>
      </c>
    </row>
    <row r="21" ht="15.75" customHeight="1">
      <c r="A21" s="5" t="s">
        <v>392</v>
      </c>
      <c r="B21" s="5" t="s">
        <v>393</v>
      </c>
      <c r="C21" s="5" t="s">
        <v>394</v>
      </c>
      <c r="D21" s="9" t="s">
        <v>337</v>
      </c>
      <c r="E21" s="11" t="s">
        <v>28</v>
      </c>
      <c r="F21" s="5" t="s">
        <v>47</v>
      </c>
      <c r="G21" s="5" t="s">
        <v>398</v>
      </c>
    </row>
    <row r="22" ht="15.75" customHeight="1">
      <c r="A22" s="5" t="s">
        <v>400</v>
      </c>
      <c r="B22" s="5" t="s">
        <v>393</v>
      </c>
      <c r="C22" s="5" t="s">
        <v>402</v>
      </c>
      <c r="D22" s="9" t="s">
        <v>403</v>
      </c>
      <c r="E22" s="11" t="s">
        <v>28</v>
      </c>
      <c r="F22" s="5" t="s">
        <v>47</v>
      </c>
      <c r="G22" s="5" t="s">
        <v>422</v>
      </c>
    </row>
    <row r="23" ht="15.75" customHeight="1">
      <c r="A23" s="5" t="s">
        <v>424</v>
      </c>
      <c r="B23" s="5" t="s">
        <v>393</v>
      </c>
      <c r="C23" s="5" t="s">
        <v>427</v>
      </c>
      <c r="D23" s="9" t="s">
        <v>429</v>
      </c>
      <c r="E23" s="11" t="s">
        <v>28</v>
      </c>
      <c r="F23" s="5" t="s">
        <v>47</v>
      </c>
      <c r="G23" s="5" t="s">
        <v>441</v>
      </c>
    </row>
    <row r="24" ht="15.75" customHeight="1">
      <c r="A24" s="5" t="s">
        <v>443</v>
      </c>
      <c r="B24" s="5" t="s">
        <v>445</v>
      </c>
      <c r="C24" s="5" t="s">
        <v>447</v>
      </c>
      <c r="D24" s="9" t="s">
        <v>448</v>
      </c>
      <c r="E24" s="11" t="s">
        <v>28</v>
      </c>
      <c r="F24" s="5" t="s">
        <v>160</v>
      </c>
      <c r="G24" s="5" t="s">
        <v>486</v>
      </c>
    </row>
    <row r="25" ht="15.75" customHeight="1">
      <c r="A25" s="5" t="s">
        <v>488</v>
      </c>
      <c r="B25" s="5" t="s">
        <v>489</v>
      </c>
      <c r="C25" s="5" t="s">
        <v>492</v>
      </c>
      <c r="D25" s="9" t="s">
        <v>493</v>
      </c>
      <c r="E25" s="11" t="s">
        <v>28</v>
      </c>
      <c r="F25" s="5" t="s">
        <v>160</v>
      </c>
      <c r="G25" s="5" t="s">
        <v>516</v>
      </c>
    </row>
    <row r="26" ht="15.75" customHeight="1">
      <c r="A26" s="5" t="s">
        <v>517</v>
      </c>
      <c r="B26" s="5" t="s">
        <v>521</v>
      </c>
      <c r="C26" s="5" t="s">
        <v>522</v>
      </c>
      <c r="D26" s="9" t="s">
        <v>524</v>
      </c>
      <c r="E26" s="19" t="s">
        <v>159</v>
      </c>
      <c r="F26" s="5" t="s">
        <v>160</v>
      </c>
      <c r="G26" s="5" t="s">
        <v>552</v>
      </c>
    </row>
    <row r="27" ht="15.75" customHeight="1">
      <c r="A27" s="5" t="s">
        <v>554</v>
      </c>
      <c r="B27" s="5" t="s">
        <v>556</v>
      </c>
      <c r="C27" s="5" t="s">
        <v>559</v>
      </c>
      <c r="D27" s="9" t="s">
        <v>564</v>
      </c>
      <c r="E27" s="19" t="s">
        <v>159</v>
      </c>
      <c r="F27" s="5" t="s">
        <v>160</v>
      </c>
      <c r="G27" s="5" t="s">
        <v>597</v>
      </c>
    </row>
    <row r="28" ht="15.75" customHeight="1">
      <c r="A28" s="5" t="s">
        <v>598</v>
      </c>
      <c r="B28" s="5" t="s">
        <v>556</v>
      </c>
      <c r="C28" s="5" t="s">
        <v>600</v>
      </c>
      <c r="D28" s="9" t="s">
        <v>602</v>
      </c>
      <c r="E28" s="19" t="s">
        <v>159</v>
      </c>
      <c r="F28" s="5" t="s">
        <v>160</v>
      </c>
      <c r="G28" s="5" t="s">
        <v>621</v>
      </c>
    </row>
    <row r="29" ht="15.75" customHeight="1">
      <c r="A29" s="5" t="s">
        <v>623</v>
      </c>
      <c r="B29" s="5" t="s">
        <v>556</v>
      </c>
      <c r="C29" s="5" t="s">
        <v>626</v>
      </c>
      <c r="D29" s="9" t="s">
        <v>628</v>
      </c>
      <c r="E29" s="19" t="s">
        <v>159</v>
      </c>
      <c r="F29" s="5" t="s">
        <v>160</v>
      </c>
      <c r="G29" s="5" t="s">
        <v>647</v>
      </c>
    </row>
    <row r="30" ht="15.75" customHeight="1">
      <c r="A30" s="5" t="s">
        <v>649</v>
      </c>
      <c r="B30" s="5" t="s">
        <v>556</v>
      </c>
      <c r="C30" s="5" t="s">
        <v>652</v>
      </c>
      <c r="D30" s="9" t="s">
        <v>654</v>
      </c>
      <c r="E30" s="19" t="s">
        <v>159</v>
      </c>
      <c r="F30" s="5" t="s">
        <v>160</v>
      </c>
      <c r="G30" s="5" t="s">
        <v>674</v>
      </c>
    </row>
    <row r="31" ht="15.75" customHeight="1">
      <c r="A31" s="5" t="s">
        <v>676</v>
      </c>
      <c r="B31" s="5" t="s">
        <v>678</v>
      </c>
      <c r="C31" s="5" t="s">
        <v>680</v>
      </c>
      <c r="D31" s="9" t="s">
        <v>681</v>
      </c>
      <c r="E31" s="19" t="s">
        <v>159</v>
      </c>
      <c r="F31" s="5" t="s">
        <v>160</v>
      </c>
      <c r="G31" s="5" t="s">
        <v>703</v>
      </c>
    </row>
    <row r="32" ht="15.75" customHeight="1">
      <c r="A32" s="5" t="s">
        <v>704</v>
      </c>
      <c r="B32" s="5" t="s">
        <v>705</v>
      </c>
      <c r="C32" s="5" t="s">
        <v>706</v>
      </c>
      <c r="D32" s="9" t="s">
        <v>391</v>
      </c>
      <c r="E32" s="22" t="s">
        <v>95</v>
      </c>
      <c r="F32" s="5" t="s">
        <v>160</v>
      </c>
      <c r="G32" s="5" t="s">
        <v>719</v>
      </c>
    </row>
    <row r="33" ht="15.75" customHeight="1">
      <c r="A33" s="5" t="s">
        <v>720</v>
      </c>
      <c r="B33" s="5" t="s">
        <v>721</v>
      </c>
      <c r="C33" s="5" t="s">
        <v>723</v>
      </c>
      <c r="D33" s="9" t="s">
        <v>725</v>
      </c>
      <c r="E33" s="23" t="s">
        <v>86</v>
      </c>
      <c r="F33" s="5" t="s">
        <v>47</v>
      </c>
      <c r="G33" s="5" t="s">
        <v>756</v>
      </c>
    </row>
    <row r="34" ht="15.75" customHeight="1">
      <c r="A34" s="5" t="s">
        <v>758</v>
      </c>
      <c r="B34" s="5" t="s">
        <v>721</v>
      </c>
      <c r="C34" s="5" t="s">
        <v>760</v>
      </c>
      <c r="D34" s="9" t="s">
        <v>764</v>
      </c>
      <c r="E34" s="23" t="s">
        <v>86</v>
      </c>
      <c r="F34" s="5" t="s">
        <v>47</v>
      </c>
      <c r="G34" s="5" t="s">
        <v>775</v>
      </c>
    </row>
    <row r="35" ht="15.75" customHeight="1">
      <c r="A35" s="5" t="s">
        <v>776</v>
      </c>
      <c r="B35" s="5" t="s">
        <v>721</v>
      </c>
      <c r="C35" s="5" t="s">
        <v>778</v>
      </c>
      <c r="D35" s="9" t="s">
        <v>781</v>
      </c>
      <c r="E35" s="23" t="s">
        <v>86</v>
      </c>
      <c r="F35" s="5" t="s">
        <v>47</v>
      </c>
      <c r="G35" s="5" t="s">
        <v>797</v>
      </c>
    </row>
    <row r="36" ht="15.75" customHeight="1">
      <c r="A36" s="5" t="s">
        <v>799</v>
      </c>
      <c r="B36" s="5" t="s">
        <v>721</v>
      </c>
      <c r="C36" s="5" t="s">
        <v>802</v>
      </c>
      <c r="D36" s="9" t="s">
        <v>805</v>
      </c>
      <c r="E36" s="23" t="s">
        <v>86</v>
      </c>
      <c r="F36" s="5" t="s">
        <v>47</v>
      </c>
      <c r="G36" s="5" t="s">
        <v>822</v>
      </c>
    </row>
    <row r="37" ht="15.75" customHeight="1">
      <c r="A37" s="5" t="s">
        <v>824</v>
      </c>
      <c r="B37" s="5" t="s">
        <v>721</v>
      </c>
      <c r="C37" s="5" t="s">
        <v>827</v>
      </c>
      <c r="D37" s="9" t="s">
        <v>829</v>
      </c>
      <c r="E37" s="23" t="s">
        <v>86</v>
      </c>
      <c r="F37" s="5" t="s">
        <v>47</v>
      </c>
      <c r="G37" s="5" t="s">
        <v>848</v>
      </c>
    </row>
    <row r="38" ht="15.75" customHeight="1">
      <c r="A38" s="5" t="s">
        <v>850</v>
      </c>
      <c r="B38" s="5" t="s">
        <v>851</v>
      </c>
      <c r="C38" s="5" t="s">
        <v>853</v>
      </c>
      <c r="D38" s="9" t="s">
        <v>855</v>
      </c>
      <c r="E38" s="23" t="s">
        <v>86</v>
      </c>
      <c r="F38" s="24" t="s">
        <v>867</v>
      </c>
      <c r="G38" s="5" t="s">
        <v>869</v>
      </c>
    </row>
    <row r="39" ht="15.75" customHeight="1">
      <c r="A39" s="5" t="s">
        <v>871</v>
      </c>
      <c r="B39" s="5" t="s">
        <v>851</v>
      </c>
      <c r="C39" s="5" t="s">
        <v>873</v>
      </c>
      <c r="D39" s="9" t="s">
        <v>874</v>
      </c>
      <c r="E39" s="23" t="s">
        <v>86</v>
      </c>
      <c r="F39" s="24" t="s">
        <v>867</v>
      </c>
      <c r="G39" s="5" t="s">
        <v>881</v>
      </c>
    </row>
    <row r="40" ht="15.75" customHeight="1">
      <c r="A40" s="5" t="s">
        <v>882</v>
      </c>
      <c r="B40" s="5" t="s">
        <v>851</v>
      </c>
      <c r="C40" s="5" t="s">
        <v>883</v>
      </c>
      <c r="D40" s="9" t="s">
        <v>885</v>
      </c>
      <c r="E40" s="23" t="s">
        <v>86</v>
      </c>
      <c r="F40" s="24" t="s">
        <v>867</v>
      </c>
      <c r="G40" s="5" t="s">
        <v>896</v>
      </c>
    </row>
    <row r="41" ht="15.75" customHeight="1">
      <c r="A41" s="5" t="s">
        <v>897</v>
      </c>
      <c r="B41" s="5" t="s">
        <v>899</v>
      </c>
      <c r="C41" s="5" t="s">
        <v>900</v>
      </c>
      <c r="D41" s="9" t="s">
        <v>363</v>
      </c>
      <c r="E41" s="21" t="s">
        <v>75</v>
      </c>
      <c r="F41" s="5" t="s">
        <v>160</v>
      </c>
      <c r="G41" s="5" t="s">
        <v>910</v>
      </c>
    </row>
    <row r="42" ht="15.75" customHeight="1">
      <c r="A42" s="5" t="s">
        <v>911</v>
      </c>
      <c r="B42" s="5" t="s">
        <v>912</v>
      </c>
      <c r="C42" s="5" t="s">
        <v>913</v>
      </c>
      <c r="D42" s="9" t="s">
        <v>914</v>
      </c>
      <c r="E42" s="21" t="s">
        <v>75</v>
      </c>
      <c r="F42" s="5" t="s">
        <v>160</v>
      </c>
      <c r="G42" s="5" t="s">
        <v>917</v>
      </c>
    </row>
    <row r="43" ht="15.75" customHeight="1">
      <c r="A43" s="5" t="s">
        <v>918</v>
      </c>
      <c r="B43" s="5" t="s">
        <v>919</v>
      </c>
      <c r="C43" s="5" t="s">
        <v>920</v>
      </c>
      <c r="D43" s="9" t="s">
        <v>921</v>
      </c>
      <c r="E43" s="21" t="s">
        <v>75</v>
      </c>
      <c r="F43" s="5" t="s">
        <v>160</v>
      </c>
      <c r="G43" s="5" t="s">
        <v>926</v>
      </c>
    </row>
    <row r="44" ht="15.75" customHeight="1">
      <c r="A44" s="5" t="s">
        <v>927</v>
      </c>
      <c r="B44" s="5" t="s">
        <v>928</v>
      </c>
      <c r="C44" s="5" t="s">
        <v>929</v>
      </c>
      <c r="D44" s="9" t="s">
        <v>930</v>
      </c>
      <c r="E44" s="21" t="s">
        <v>75</v>
      </c>
      <c r="F44" s="5" t="s">
        <v>160</v>
      </c>
      <c r="G44" s="5" t="s">
        <v>935</v>
      </c>
    </row>
    <row r="45" ht="15.75" customHeight="1">
      <c r="A45" s="5" t="s">
        <v>936</v>
      </c>
      <c r="B45" s="5" t="s">
        <v>937</v>
      </c>
      <c r="C45" s="5" t="s">
        <v>938</v>
      </c>
      <c r="D45" s="9" t="s">
        <v>939</v>
      </c>
      <c r="E45" s="25" t="s">
        <v>942</v>
      </c>
      <c r="F45" s="5" t="s">
        <v>160</v>
      </c>
      <c r="G45" s="5" t="s">
        <v>943</v>
      </c>
    </row>
    <row r="46" ht="15.75" customHeight="1">
      <c r="A46" s="5" t="s">
        <v>157</v>
      </c>
      <c r="B46" s="5" t="s">
        <v>944</v>
      </c>
      <c r="C46" s="5" t="s">
        <v>945</v>
      </c>
      <c r="D46" s="5" t="s">
        <v>158</v>
      </c>
      <c r="E46" s="20" t="s">
        <v>106</v>
      </c>
      <c r="F46" s="5" t="s">
        <v>949</v>
      </c>
      <c r="G46" s="5" t="s">
        <v>950</v>
      </c>
    </row>
    <row r="50"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47" ht="15.75" customHeight="1">
      <c r="A47" s="5" t="inlineStr">
        <is>
          <t xml:space="preserve">GSO</t>
        </is>
      </c>
      <c r="B47" s="7" t="inlineStr">
        <is>
          <t xml:space="preserve">Google</t>
        </is>
      </c>
      <c r="C47" s="5" t="inlineStr">
        <is>
          <t xml:space="preserve">Refine web searches (search operators, including site:)</t>
        </is>
      </c>
      <c r="D47" s="7" t="inlineStr">
        <is>
          <t xml:space="preserve">https://support.google.com/websearch/answer/2466433</t>
        </is>
      </c>
      <c r="E47" s="7" t="inlineStr">
        <is>
          <t xml:space="preserve">Google — documented</t>
        </is>
      </c>
      <c r="F47" s="5" t="inlineStr">
        <is>
          <t xml:space="preserve">Yes</t>
        </is>
      </c>
      <c r="G47" s="7" t="inlineStr">
        <is>
          <t xml:space="preserve">Documents the site: operator and states that result counts are estimates. Supports reading a site: query as evidence that a domain is or is not present in the index, and nothing finer.</t>
        </is>
      </c>
    </row>
    <row r="48" ht="15.75" customHeight="1">
      <c r="A48" s="5" t="inlineStr">
        <is>
          <t xml:space="preserve">GSC</t>
        </is>
      </c>
      <c r="B48" s="7" t="inlineStr">
        <is>
          <t xml:space="preserve">Google Search Central</t>
        </is>
      </c>
      <c r="C48" s="5" t="inlineStr">
        <is>
          <t xml:space="preserve">Get started with Search Console</t>
        </is>
      </c>
      <c r="D48" s="7" t="inlineStr">
        <is>
          <t xml:space="preserve">https://developers.google.com/search/docs/monitor-debug/search-console-start</t>
        </is>
      </c>
      <c r="E48" s="7" t="inlineStr">
        <is>
          <t xml:space="preserve">Google — documented</t>
        </is>
      </c>
      <c r="F48" s="5" t="inlineStr">
        <is>
          <t xml:space="preserve">Yes</t>
        </is>
      </c>
      <c r="G48" s="7" t="inlineStr">
        <is>
          <t xml:space="preserve">The authoritative report on index coverage, available only to a verified owner. Cited wherever a SERP sample is used in its place, so the weaker evidence is never presented as the stronger.</t>
        </is>
      </c>
    </row>
    <row r="49" ht="15.75" customHeight="1">
      <c r="A49" s="5" t="inlineStr">
        <is>
          <t xml:space="preserve">CLR</t>
        </is>
      </c>
      <c r="B49" s="7" t="inlineStr">
        <is>
          <t xml:space="preserve">Cloro</t>
        </is>
      </c>
      <c r="C49" s="5" t="inlineStr">
        <is>
          <t xml:space="preserve">SERP API</t>
        </is>
      </c>
      <c r="D49" s="7" t="inlineStr">
        <is>
          <t xml:space="preserve">https://cloro.dev/serp-api/</t>
        </is>
      </c>
      <c r="E49" s="7" t="inlineStr">
        <is>
          <t xml:space="preserve">Third-party API — data provider</t>
        </is>
      </c>
      <c r="F49" s="5" t="inlineStr">
        <is>
          <t xml:space="preserve">Yes</t>
        </is>
      </c>
      <c r="G49" s="7" t="inlineStr">
        <is>
          <t xml:space="preserve">The provider through which the site: query is executed. A data source, not an authority: it reports what Google returned and documents nothing about how search works.</t>
        </is>
      </c>
    </row>
    <row r="51" ht="15.75" customHeight="1">
      <c r="A51" s="5" t="inlineStr">
        <is>
          <t xml:space="preserve">CC</t>
        </is>
      </c>
      <c r="B51" s="7" t="inlineStr">
        <is>
          <t xml:space="preserve">Common Crawl</t>
        </is>
      </c>
      <c r="C51" s="5" t="inlineStr">
        <is>
          <t xml:space="preserve">Common Crawl open web archive</t>
        </is>
      </c>
      <c r="D51" s="7" t="inlineStr">
        <is>
          <t xml:space="preserve">https://commoncrawl.org/</t>
        </is>
      </c>
      <c r="E51" s="7" t="inlineStr">
        <is>
          <t xml:space="preserve">Third-party archive — not a search index</t>
        </is>
      </c>
      <c r="F51" s="5" t="inlineStr">
        <is>
          <t xml:space="preserve">Yes</t>
        </is>
      </c>
      <c r="G51" s="7" t="inlineStr">
        <is>
          <t xml:space="preserve">An open repository of web crawl data. Supports one inference: a URL was captured in a given crawl. It documents nothing about search ranking, indexing, model training, or whether any assistant will cite a page.</t>
        </is>
      </c>
    </row>
  </sheetData>
  <autoFilter ref="$A$1:$G$46"/>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s>
  <printOptions/>
  <pageMargins bottom="1.0" footer="0.0" header="0.0" left="0.75" right="0.75" top="1.0"/>
  <pageSetup paperSize="9" orientation="portrait"/>
  <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3" width="34.0"/>
    <col customWidth="1" min="4" max="4" width="12.0"/>
    <col customWidth="1" min="5" max="5" width="18.0"/>
    <col customWidth="1" min="6" max="6" width="60.0"/>
    <col customWidth="1" min="7" max="7" width="24.0"/>
    <col customWidth="1" min="8" max="8" width="84.0"/>
    <col customWidth="1" min="9" max="26" width="8.71"/>
  </cols>
  <sheetData>
    <row r="1" ht="30.0" customHeight="1">
      <c r="A1" s="1" t="s">
        <v>1</v>
      </c>
      <c r="B1" s="1" t="s">
        <v>14</v>
      </c>
      <c r="C1" s="1" t="s">
        <v>16</v>
      </c>
      <c r="D1" s="1" t="s">
        <v>18</v>
      </c>
      <c r="E1" s="1" t="s">
        <v>20</v>
      </c>
      <c r="F1" s="1" t="s">
        <v>22</v>
      </c>
      <c r="G1" s="1" t="s">
        <v>7</v>
      </c>
      <c r="H1" s="1" t="s">
        <v>26</v>
      </c>
    </row>
    <row r="2">
      <c r="A2" s="5" t="s">
        <v>30</v>
      </c>
      <c r="B2" s="5" t="s">
        <v>32</v>
      </c>
      <c r="C2" s="5" t="s">
        <v>34</v>
      </c>
      <c r="D2" s="7">
        <v>11.0</v>
      </c>
      <c r="E2" s="5" t="s">
        <v>39</v>
      </c>
      <c r="F2" s="9" t="s">
        <v>29</v>
      </c>
      <c r="G2" s="11" t="s">
        <v>28</v>
      </c>
      <c r="H2" s="5" t="s">
        <v>59</v>
      </c>
    </row>
    <row r="3">
      <c r="A3" s="5" t="s">
        <v>60</v>
      </c>
      <c r="B3" s="5" t="s">
        <v>62</v>
      </c>
      <c r="C3" s="5" t="s">
        <v>34</v>
      </c>
      <c r="D3" s="7">
        <v>8.0</v>
      </c>
      <c r="E3" s="5" t="s">
        <v>65</v>
      </c>
      <c r="F3" s="9" t="s">
        <v>68</v>
      </c>
      <c r="G3" s="11" t="s">
        <v>28</v>
      </c>
      <c r="H3" s="5" t="s">
        <v>88</v>
      </c>
    </row>
    <row r="4">
      <c r="A4" s="5" t="s">
        <v>89</v>
      </c>
      <c r="B4" s="5" t="s">
        <v>91</v>
      </c>
      <c r="C4" s="5" t="s">
        <v>34</v>
      </c>
      <c r="D4" s="7">
        <v>18.0</v>
      </c>
      <c r="E4" s="5" t="s">
        <v>93</v>
      </c>
      <c r="F4" s="9" t="s">
        <v>74</v>
      </c>
      <c r="G4" s="11" t="s">
        <v>28</v>
      </c>
      <c r="H4" s="5" t="s">
        <v>124</v>
      </c>
    </row>
    <row r="5">
      <c r="A5" s="5" t="s">
        <v>127</v>
      </c>
      <c r="B5" s="5" t="s">
        <v>129</v>
      </c>
      <c r="C5" s="5" t="s">
        <v>34</v>
      </c>
      <c r="D5" s="7">
        <v>15.0</v>
      </c>
      <c r="E5" s="5" t="s">
        <v>132</v>
      </c>
      <c r="F5" s="9" t="s">
        <v>74</v>
      </c>
      <c r="G5" s="11" t="s">
        <v>28</v>
      </c>
      <c r="H5" s="5" t="s">
        <v>136</v>
      </c>
    </row>
    <row r="6">
      <c r="A6" s="5" t="s">
        <v>138</v>
      </c>
      <c r="B6" s="5" t="s">
        <v>139</v>
      </c>
      <c r="C6" s="5" t="s">
        <v>34</v>
      </c>
      <c r="D6" s="7">
        <v>20.0</v>
      </c>
      <c r="E6" s="5" t="s">
        <v>140</v>
      </c>
      <c r="F6" s="9" t="s">
        <v>142</v>
      </c>
      <c r="G6" s="11" t="s">
        <v>28</v>
      </c>
      <c r="H6" s="5" t="s">
        <v>166</v>
      </c>
    </row>
    <row r="7">
      <c r="A7" s="5" t="s">
        <v>168</v>
      </c>
      <c r="B7" s="5" t="s">
        <v>169</v>
      </c>
      <c r="C7" s="5" t="s">
        <v>34</v>
      </c>
      <c r="D7" s="7">
        <v>14.0</v>
      </c>
      <c r="E7" s="5" t="s">
        <v>170</v>
      </c>
      <c r="F7" s="9" t="s">
        <v>172</v>
      </c>
      <c r="G7" s="11" t="s">
        <v>28</v>
      </c>
      <c r="H7" s="5" t="s">
        <v>191</v>
      </c>
    </row>
    <row r="8">
      <c r="A8" s="5" t="s">
        <v>192</v>
      </c>
      <c r="B8" s="5" t="s">
        <v>193</v>
      </c>
      <c r="C8" s="5" t="s">
        <v>34</v>
      </c>
      <c r="D8" s="7">
        <v>13.0</v>
      </c>
      <c r="E8" s="5" t="s">
        <v>197</v>
      </c>
      <c r="F8" s="9" t="s">
        <v>172</v>
      </c>
      <c r="G8" s="11" t="s">
        <v>28</v>
      </c>
      <c r="H8" s="5" t="s">
        <v>202</v>
      </c>
    </row>
    <row r="9">
      <c r="A9" s="5" t="s">
        <v>203</v>
      </c>
      <c r="B9" s="5" t="s">
        <v>204</v>
      </c>
      <c r="C9" s="5" t="s">
        <v>206</v>
      </c>
      <c r="D9" s="7">
        <v>13.0</v>
      </c>
      <c r="E9" s="5" t="s">
        <v>207</v>
      </c>
      <c r="F9" s="9" t="s">
        <v>208</v>
      </c>
      <c r="G9" s="11" t="s">
        <v>28</v>
      </c>
      <c r="H9" s="5" t="s">
        <v>240</v>
      </c>
    </row>
    <row r="10">
      <c r="A10" s="5" t="s">
        <v>241</v>
      </c>
      <c r="B10" s="5" t="s">
        <v>242</v>
      </c>
      <c r="C10" s="5" t="s">
        <v>206</v>
      </c>
      <c r="D10" s="7">
        <v>12.0</v>
      </c>
      <c r="E10" s="5" t="s">
        <v>243</v>
      </c>
      <c r="F10" s="9" t="s">
        <v>246</v>
      </c>
      <c r="G10" s="11" t="s">
        <v>28</v>
      </c>
      <c r="H10" s="5" t="s">
        <v>260</v>
      </c>
    </row>
    <row r="11">
      <c r="A11" s="5" t="s">
        <v>262</v>
      </c>
      <c r="B11" s="5" t="s">
        <v>264</v>
      </c>
      <c r="C11" s="5" t="s">
        <v>206</v>
      </c>
      <c r="D11" s="7">
        <v>15.0</v>
      </c>
      <c r="E11" s="5" t="s">
        <v>266</v>
      </c>
      <c r="F11" s="9" t="s">
        <v>249</v>
      </c>
      <c r="G11" s="11" t="s">
        <v>28</v>
      </c>
      <c r="H11" s="5" t="s">
        <v>275</v>
      </c>
    </row>
    <row r="12">
      <c r="A12" s="5" t="s">
        <v>276</v>
      </c>
      <c r="B12" s="5" t="s">
        <v>277</v>
      </c>
      <c r="C12" s="5" t="s">
        <v>206</v>
      </c>
      <c r="D12" s="7">
        <v>10.0</v>
      </c>
      <c r="E12" s="5" t="s">
        <v>278</v>
      </c>
      <c r="F12" s="9" t="s">
        <v>198</v>
      </c>
      <c r="G12" s="11" t="s">
        <v>28</v>
      </c>
      <c r="H12" s="5" t="s">
        <v>294</v>
      </c>
    </row>
    <row r="13">
      <c r="A13" s="5" t="s">
        <v>297</v>
      </c>
      <c r="B13" s="5" t="s">
        <v>298</v>
      </c>
      <c r="C13" s="5" t="s">
        <v>299</v>
      </c>
      <c r="D13" s="7">
        <v>27.0</v>
      </c>
      <c r="E13" s="5" t="s">
        <v>300</v>
      </c>
      <c r="F13" s="9" t="s">
        <v>238</v>
      </c>
      <c r="G13" s="11" t="s">
        <v>28</v>
      </c>
      <c r="H13" s="5" t="s">
        <v>312</v>
      </c>
    </row>
    <row r="14">
      <c r="A14" s="5" t="s">
        <v>314</v>
      </c>
      <c r="B14" s="5" t="s">
        <v>316</v>
      </c>
      <c r="C14" s="5" t="s">
        <v>299</v>
      </c>
      <c r="D14" s="7">
        <v>19.0</v>
      </c>
      <c r="E14" s="5" t="s">
        <v>215</v>
      </c>
      <c r="F14" s="9" t="s">
        <v>218</v>
      </c>
      <c r="G14" s="11" t="s">
        <v>28</v>
      </c>
      <c r="H14" s="5" t="s">
        <v>330</v>
      </c>
    </row>
    <row r="15">
      <c r="A15" s="5" t="s">
        <v>331</v>
      </c>
      <c r="B15" s="5" t="s">
        <v>333</v>
      </c>
      <c r="C15" s="5" t="s">
        <v>334</v>
      </c>
      <c r="D15" s="7">
        <v>14.0</v>
      </c>
      <c r="E15" s="5" t="s">
        <v>335</v>
      </c>
      <c r="F15" s="9" t="s">
        <v>337</v>
      </c>
      <c r="G15" s="11" t="s">
        <v>28</v>
      </c>
      <c r="H15" s="5" t="s">
        <v>353</v>
      </c>
    </row>
    <row r="16">
      <c r="A16" s="5" t="s">
        <v>355</v>
      </c>
      <c r="B16" s="5" t="s">
        <v>356</v>
      </c>
      <c r="C16" s="5" t="s">
        <v>358</v>
      </c>
      <c r="D16" s="7">
        <v>14.0</v>
      </c>
      <c r="E16" s="5" t="s">
        <v>361</v>
      </c>
      <c r="F16" s="9" t="s">
        <v>363</v>
      </c>
      <c r="G16" s="21" t="s">
        <v>75</v>
      </c>
      <c r="H16" s="5" t="s">
        <v>375</v>
      </c>
    </row>
    <row r="17">
      <c r="A17" s="5" t="s">
        <v>378</v>
      </c>
      <c r="B17" s="5" t="s">
        <v>379</v>
      </c>
      <c r="C17" s="5" t="s">
        <v>358</v>
      </c>
      <c r="D17" s="7">
        <v>14.0</v>
      </c>
      <c r="E17" s="5" t="s">
        <v>195</v>
      </c>
      <c r="F17" s="9" t="s">
        <v>198</v>
      </c>
      <c r="G17" s="11" t="s">
        <v>28</v>
      </c>
      <c r="H17" s="5" t="s">
        <v>383</v>
      </c>
    </row>
    <row r="18">
      <c r="A18" s="5" t="s">
        <v>385</v>
      </c>
      <c r="B18" s="5" t="s">
        <v>387</v>
      </c>
      <c r="C18" s="5" t="s">
        <v>358</v>
      </c>
      <c r="D18" s="7">
        <v>14.0</v>
      </c>
      <c r="E18" s="5" t="s">
        <v>389</v>
      </c>
      <c r="F18" s="9" t="s">
        <v>391</v>
      </c>
      <c r="G18" s="22" t="s">
        <v>95</v>
      </c>
      <c r="H18" s="5" t="s">
        <v>411</v>
      </c>
    </row>
    <row r="19">
      <c r="A19" s="5" t="s">
        <v>414</v>
      </c>
      <c r="B19" s="5" t="s">
        <v>416</v>
      </c>
      <c r="C19" s="5" t="s">
        <v>358</v>
      </c>
      <c r="D19" s="7">
        <v>13.0</v>
      </c>
      <c r="E19" s="5" t="s">
        <v>418</v>
      </c>
      <c r="F19" s="9" t="s">
        <v>336</v>
      </c>
      <c r="G19" s="11" t="s">
        <v>28</v>
      </c>
      <c r="H19" s="5" t="s">
        <v>479</v>
      </c>
    </row>
    <row r="20">
      <c r="A20" s="5" t="s">
        <v>481</v>
      </c>
      <c r="B20" s="5" t="s">
        <v>485</v>
      </c>
      <c r="C20" s="5" t="s">
        <v>487</v>
      </c>
      <c r="D20" s="7">
        <v>15.0</v>
      </c>
      <c r="E20" s="5" t="s">
        <v>195</v>
      </c>
      <c r="F20" s="9" t="s">
        <v>198</v>
      </c>
      <c r="G20" s="11" t="s">
        <v>28</v>
      </c>
      <c r="H20" s="5" t="s">
        <v>497</v>
      </c>
    </row>
    <row r="21" ht="15.75" customHeight="1">
      <c r="A21" s="5" t="s">
        <v>501</v>
      </c>
      <c r="B21" s="5" t="s">
        <v>502</v>
      </c>
      <c r="C21" s="5" t="s">
        <v>487</v>
      </c>
      <c r="D21" s="7">
        <v>8.0</v>
      </c>
      <c r="E21" s="5" t="s">
        <v>505</v>
      </c>
      <c r="F21" s="9" t="s">
        <v>253</v>
      </c>
      <c r="G21" s="11" t="s">
        <v>28</v>
      </c>
      <c r="H21" s="5" t="s">
        <v>541</v>
      </c>
    </row>
    <row r="22" ht="15.75" customHeight="1">
      <c r="A22" s="5" t="s">
        <v>545</v>
      </c>
      <c r="B22" s="5" t="s">
        <v>547</v>
      </c>
      <c r="C22" s="5" t="s">
        <v>487</v>
      </c>
      <c r="D22" s="7">
        <v>11.0</v>
      </c>
      <c r="E22" s="5" t="s">
        <v>157</v>
      </c>
      <c r="F22" s="5" t="s">
        <v>158</v>
      </c>
      <c r="G22" s="20" t="s">
        <v>106</v>
      </c>
      <c r="H22" s="5" t="s">
        <v>557</v>
      </c>
    </row>
    <row r="23" ht="15.75" customHeight="1">
      <c r="A23" s="5" t="s">
        <v>561</v>
      </c>
      <c r="B23" s="5" t="s">
        <v>566</v>
      </c>
      <c r="C23" s="5" t="s">
        <v>487</v>
      </c>
      <c r="D23" s="7">
        <v>11.0</v>
      </c>
      <c r="E23" s="5" t="s">
        <v>571</v>
      </c>
      <c r="F23" s="9" t="s">
        <v>336</v>
      </c>
      <c r="G23" s="11" t="s">
        <v>28</v>
      </c>
      <c r="H23" s="5" t="s">
        <v>576</v>
      </c>
    </row>
    <row r="24" ht="15.75" customHeight="1">
      <c r="A24" s="5" t="s">
        <v>581</v>
      </c>
      <c r="B24" s="5" t="s">
        <v>583</v>
      </c>
      <c r="C24" s="5" t="s">
        <v>487</v>
      </c>
      <c r="D24" s="7">
        <v>13.0</v>
      </c>
      <c r="E24" s="5" t="s">
        <v>586</v>
      </c>
      <c r="F24" s="9" t="s">
        <v>238</v>
      </c>
      <c r="G24" s="11" t="s">
        <v>28</v>
      </c>
      <c r="H24" s="5" t="s">
        <v>590</v>
      </c>
    </row>
    <row r="26"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25" ht="15.75" customHeight="1">
      <c r="A25" s="5" t="inlineStr">
        <is>
          <t xml:space="preserve">X-1.8</t>
        </is>
      </c>
      <c r="B25" s="7" t="inlineStr">
        <is>
          <t xml:space="preserve">Googlebot Access (using SERP)</t>
        </is>
      </c>
      <c r="C25" s="5" t="inlineStr">
        <is>
          <t xml:space="preserve">SECTION 1 — CRAWL &amp; INDEXING</t>
        </is>
      </c>
      <c r="D25" s="7" t="inlineStr">
        <is>
          <t xml:space="preserve">3.0</t>
        </is>
      </c>
      <c r="E25" s="7" t="inlineStr">
        <is>
          <t xml:space="preserve">GSO, GSC, CLR</t>
        </is>
      </c>
      <c r="F25" s="5" t="inlineStr">
        <is>
          <t xml:space="preserve">https://support.google.com/websearch/answer/2466433</t>
        </is>
      </c>
      <c r="G25" s="7" t="inlineStr">
        <is>
          <t xml:space="preserve">Google — documented</t>
        </is>
      </c>
      <c r="H25" s="9" t="inlineStr">
        <is>
          <t xml:space="preserve">Google documents the site: operator and states that its counts are estimates. That supports one inference only: whether the domain is present in the index. Coverage is not measurable this way, and Search Console remains the authoritative report.</t>
        </is>
      </c>
    </row>
    <row r="27" ht="15.75" customHeight="1">
      <c r="A27" s="5" t="inlineStr">
        <is>
          <t xml:space="preserve">X-5.3b</t>
        </is>
      </c>
      <c r="B27" s="7" t="inlineStr">
        <is>
          <t xml:space="preserve">LLms-full.txt</t>
        </is>
      </c>
      <c r="C27" s="5" t="inlineStr">
        <is>
          <t xml:space="preserve">SECTION 5 — LLM / AI ACCESS</t>
        </is>
      </c>
      <c r="D27" s="7" t="inlineStr">
        <is>
          <t xml:space="preserve">4.0</t>
        </is>
      </c>
      <c r="E27" s="7" t="inlineStr">
        <is>
          <t xml:space="preserve">L1, TP</t>
        </is>
      </c>
      <c r="F27" s="5" t="inlineStr">
        <is>
          <t xml:space="preserve">https://llmstxt.org/</t>
        </is>
      </c>
      <c r="G27" s="7" t="inlineStr">
        <is>
          <t xml:space="preserve">Proposed — not adopted</t>
        </is>
      </c>
      <c r="H27" s="9" t="inlineStr">
        <is>
          <t xml:space="preserve">llms-full.txt is not part of the llms.txt proposal and no search engine consumes it. Reported as information only; there is no requirement for it to meet.</t>
        </is>
      </c>
    </row>
    <row r="28" ht="15.75" customHeight="1">
      <c r="A28" s="5" t="inlineStr">
        <is>
          <t xml:space="preserve">X-5.5</t>
        </is>
      </c>
      <c r="B28" s="7" t="inlineStr">
        <is>
          <t xml:space="preserve">Common Crawl presence</t>
        </is>
      </c>
      <c r="C28" s="5" t="inlineStr">
        <is>
          <t xml:space="preserve">SECTION 5 — LLM / AI ACCESS</t>
        </is>
      </c>
      <c r="D28" s="7" t="inlineStr">
        <is>
          <t xml:space="preserve">4.0</t>
        </is>
      </c>
      <c r="E28" s="7" t="inlineStr">
        <is>
          <t xml:space="preserve">CC, TP</t>
        </is>
      </c>
      <c r="F28" s="5" t="inlineStr">
        <is>
          <t xml:space="preserve">https://commoncrawl.org/</t>
        </is>
      </c>
      <c r="G28" s="7" t="inlineStr">
        <is>
          <t xml:space="preserve">Third-party archive — not a search index</t>
        </is>
      </c>
      <c r="H28" s="9" t="inlineStr">
        <is>
          <t xml:space="preserve">Presence in an open web archive. Reported as information only. Treating it as an AI-visibility or SEO outcome would claim more than the archive supports.</t>
        </is>
      </c>
    </row>
  </sheetData>
  <autoFilter ref="$A$1:$H$24"/>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3"/>
    <hyperlink r:id="rId22" ref="F24"/>
  </hyperlinks>
  <printOptions/>
  <pageMargins bottom="1.0" footer="0.0" header="0.0" left="0.75" right="0.75" top="1.0"/>
  <pageSetup paperSize="9" orientation="portrait"/>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3.0"/>
    <col customWidth="1" min="3" max="3" width="62.0"/>
    <col customWidth="1" min="4" max="4" width="15.0"/>
    <col customWidth="1" min="5" max="5" width="11.0"/>
    <col customWidth="1" min="6" max="6" width="34.0"/>
    <col customWidth="1" min="7" max="7" width="16.0"/>
    <col customWidth="1" min="8" max="8" width="56.0"/>
    <col customWidth="1" min="9" max="9" width="24.0"/>
    <col customWidth="1" min="10" max="10" width="15.0"/>
    <col customWidth="1" min="11" max="11" width="76.0"/>
    <col customWidth="1" min="12" max="26" width="8.71"/>
  </cols>
  <sheetData>
    <row r="1" ht="30.0" customHeight="1">
      <c r="A1" s="1" t="s">
        <v>1</v>
      </c>
      <c r="B1" s="1" t="s">
        <v>31</v>
      </c>
      <c r="C1" s="1" t="s">
        <v>33</v>
      </c>
      <c r="D1" s="1" t="s">
        <v>35</v>
      </c>
      <c r="E1" s="1" t="s">
        <v>36</v>
      </c>
      <c r="F1" s="1" t="s">
        <v>37</v>
      </c>
      <c r="G1" s="1" t="s">
        <v>20</v>
      </c>
      <c r="H1" s="1" t="s">
        <v>38</v>
      </c>
      <c r="I1" s="1" t="s">
        <v>7</v>
      </c>
      <c r="J1" s="1" t="s">
        <v>40</v>
      </c>
      <c r="K1" s="1" t="s">
        <v>41</v>
      </c>
    </row>
    <row r="2">
      <c r="A2" s="5" t="s">
        <v>30</v>
      </c>
      <c r="B2" s="7" t="s">
        <v>42</v>
      </c>
      <c r="C2" s="5" t="s">
        <v>43</v>
      </c>
      <c r="D2" s="7" t="s">
        <v>44</v>
      </c>
      <c r="E2" s="7" t="s">
        <v>45</v>
      </c>
      <c r="F2" s="5" t="s">
        <v>45</v>
      </c>
      <c r="G2" s="7" t="s">
        <v>39</v>
      </c>
      <c r="H2" s="9" t="s">
        <v>29</v>
      </c>
      <c r="I2" s="11" t="s">
        <v>28</v>
      </c>
      <c r="J2" s="7"/>
      <c r="K2" s="5" t="s">
        <v>52</v>
      </c>
    </row>
    <row r="3">
      <c r="A3" s="5" t="s">
        <v>30</v>
      </c>
      <c r="B3" s="7" t="s">
        <v>53</v>
      </c>
      <c r="C3" s="5" t="s">
        <v>54</v>
      </c>
      <c r="D3" s="7" t="s">
        <v>55</v>
      </c>
      <c r="E3" s="7" t="s">
        <v>56</v>
      </c>
      <c r="F3" s="5" t="s">
        <v>57</v>
      </c>
      <c r="G3" s="7" t="s">
        <v>58</v>
      </c>
      <c r="H3" s="9" t="s">
        <v>29</v>
      </c>
      <c r="I3" s="11" t="s">
        <v>28</v>
      </c>
      <c r="J3" s="7"/>
      <c r="K3" s="5" t="s">
        <v>61</v>
      </c>
    </row>
    <row r="4">
      <c r="A4" s="5" t="s">
        <v>30</v>
      </c>
      <c r="B4" s="7" t="s">
        <v>63</v>
      </c>
      <c r="C4" s="5" t="s">
        <v>64</v>
      </c>
      <c r="D4" s="7" t="s">
        <v>55</v>
      </c>
      <c r="E4" s="7" t="s">
        <v>66</v>
      </c>
      <c r="F4" s="5" t="s">
        <v>67</v>
      </c>
      <c r="G4" s="7" t="s">
        <v>39</v>
      </c>
      <c r="H4" s="9" t="s">
        <v>29</v>
      </c>
      <c r="I4" s="11" t="s">
        <v>28</v>
      </c>
      <c r="J4" s="12" t="s">
        <v>69</v>
      </c>
      <c r="K4" s="5" t="s">
        <v>52</v>
      </c>
    </row>
    <row r="5">
      <c r="A5" s="5" t="s">
        <v>30</v>
      </c>
      <c r="B5" s="7" t="s">
        <v>76</v>
      </c>
      <c r="C5" s="5" t="s">
        <v>77</v>
      </c>
      <c r="D5" s="7" t="s">
        <v>55</v>
      </c>
      <c r="E5" s="7" t="s">
        <v>56</v>
      </c>
      <c r="F5" s="5" t="s">
        <v>78</v>
      </c>
      <c r="G5" s="7" t="s">
        <v>11</v>
      </c>
      <c r="H5" s="9" t="s">
        <v>29</v>
      </c>
      <c r="I5" s="11" t="s">
        <v>28</v>
      </c>
      <c r="J5" s="12" t="s">
        <v>69</v>
      </c>
      <c r="K5" s="5" t="s">
        <v>80</v>
      </c>
    </row>
    <row r="6">
      <c r="A6" s="5" t="s">
        <v>30</v>
      </c>
      <c r="B6" s="7" t="s">
        <v>83</v>
      </c>
      <c r="C6" s="5" t="s">
        <v>84</v>
      </c>
      <c r="D6" s="7" t="s">
        <v>55</v>
      </c>
      <c r="E6" s="7" t="s">
        <v>66</v>
      </c>
      <c r="F6" s="5" t="s">
        <v>87</v>
      </c>
      <c r="G6" s="7" t="s">
        <v>39</v>
      </c>
      <c r="H6" s="9" t="s">
        <v>29</v>
      </c>
      <c r="I6" s="11" t="s">
        <v>28</v>
      </c>
      <c r="J6" s="7"/>
      <c r="K6" s="5" t="s">
        <v>52</v>
      </c>
    </row>
    <row r="7">
      <c r="A7" s="5" t="s">
        <v>30</v>
      </c>
      <c r="B7" s="7" t="s">
        <v>90</v>
      </c>
      <c r="C7" s="5" t="s">
        <v>92</v>
      </c>
      <c r="D7" s="7" t="s">
        <v>44</v>
      </c>
      <c r="E7" s="7" t="s">
        <v>45</v>
      </c>
      <c r="F7" s="5" t="s">
        <v>94</v>
      </c>
      <c r="G7" s="7" t="s">
        <v>11</v>
      </c>
      <c r="H7" s="9" t="s">
        <v>29</v>
      </c>
      <c r="I7" s="11" t="s">
        <v>28</v>
      </c>
      <c r="J7" s="12" t="s">
        <v>69</v>
      </c>
      <c r="K7" s="5" t="s">
        <v>96</v>
      </c>
    </row>
    <row r="8">
      <c r="A8" s="5" t="s">
        <v>30</v>
      </c>
      <c r="B8" s="7" t="s">
        <v>98</v>
      </c>
      <c r="C8" s="5" t="s">
        <v>100</v>
      </c>
      <c r="D8" s="7" t="s">
        <v>102</v>
      </c>
      <c r="E8" s="7" t="s">
        <v>104</v>
      </c>
      <c r="F8" s="5" t="s">
        <v>105</v>
      </c>
      <c r="G8" s="7" t="s">
        <v>11</v>
      </c>
      <c r="H8" s="9" t="s">
        <v>29</v>
      </c>
      <c r="I8" s="11" t="s">
        <v>28</v>
      </c>
      <c r="J8" s="7" t="s">
        <v>107</v>
      </c>
      <c r="K8" s="5" t="s">
        <v>108</v>
      </c>
    </row>
    <row r="9">
      <c r="A9" s="5" t="s">
        <v>30</v>
      </c>
      <c r="B9" s="7" t="s">
        <v>109</v>
      </c>
      <c r="C9" s="5" t="s">
        <v>110</v>
      </c>
      <c r="D9" s="7" t="s">
        <v>102</v>
      </c>
      <c r="E9" s="7" t="s">
        <v>104</v>
      </c>
      <c r="F9" s="5" t="s">
        <v>111</v>
      </c>
      <c r="G9" s="7" t="s">
        <v>11</v>
      </c>
      <c r="H9" s="9" t="s">
        <v>29</v>
      </c>
      <c r="I9" s="11" t="s">
        <v>28</v>
      </c>
      <c r="J9" s="7" t="s">
        <v>107</v>
      </c>
      <c r="K9" s="5" t="s">
        <v>112</v>
      </c>
    </row>
    <row r="10">
      <c r="A10" s="5" t="s">
        <v>30</v>
      </c>
      <c r="B10" s="7" t="s">
        <v>114</v>
      </c>
      <c r="C10" s="5" t="s">
        <v>115</v>
      </c>
      <c r="D10" s="7" t="s">
        <v>102</v>
      </c>
      <c r="E10" s="7" t="s">
        <v>104</v>
      </c>
      <c r="F10" s="5" t="s">
        <v>116</v>
      </c>
      <c r="G10" s="7" t="s">
        <v>39</v>
      </c>
      <c r="H10" s="9" t="s">
        <v>29</v>
      </c>
      <c r="I10" s="11" t="s">
        <v>28</v>
      </c>
      <c r="J10" s="12" t="s">
        <v>69</v>
      </c>
      <c r="K10" s="5" t="s">
        <v>52</v>
      </c>
    </row>
    <row r="11">
      <c r="A11" s="5" t="s">
        <v>30</v>
      </c>
      <c r="B11" s="7" t="s">
        <v>118</v>
      </c>
      <c r="C11" s="5" t="s">
        <v>120</v>
      </c>
      <c r="D11" s="7" t="s">
        <v>102</v>
      </c>
      <c r="E11" s="7" t="s">
        <v>122</v>
      </c>
      <c r="F11" s="5" t="s">
        <v>123</v>
      </c>
      <c r="G11" s="7" t="s">
        <v>11</v>
      </c>
      <c r="H11" s="9" t="s">
        <v>29</v>
      </c>
      <c r="I11" s="11" t="s">
        <v>28</v>
      </c>
      <c r="J11" s="12" t="s">
        <v>69</v>
      </c>
      <c r="K11" s="5" t="s">
        <v>126</v>
      </c>
    </row>
    <row r="12">
      <c r="A12" s="5" t="s">
        <v>30</v>
      </c>
      <c r="B12" s="7" t="s">
        <v>128</v>
      </c>
      <c r="C12" s="5" t="s">
        <v>130</v>
      </c>
      <c r="D12" s="7" t="s">
        <v>102</v>
      </c>
      <c r="E12" s="7" t="s">
        <v>66</v>
      </c>
      <c r="F12" s="5" t="s">
        <v>131</v>
      </c>
      <c r="G12" s="7" t="s">
        <v>39</v>
      </c>
      <c r="H12" s="9" t="s">
        <v>29</v>
      </c>
      <c r="I12" s="11" t="s">
        <v>28</v>
      </c>
      <c r="J12" s="7"/>
      <c r="K12" s="5" t="s">
        <v>52</v>
      </c>
    </row>
    <row r="13" ht="15.75" customHeight="1">
      <c r="A13" s="5" t="inlineStr">
        <is>
          <t xml:space="preserve">C-1.2</t>
        </is>
      </c>
      <c r="B13" s="7" t="inlineStr">
        <is>
          <t xml:space="preserve">C-1.2-b</t>
        </is>
      </c>
      <c r="C13" s="5" t="inlineStr">
        <is>
          <t xml:space="preserve">No parent sitemap located: robots.txt declares none, no standard location returns 200, and no request was inconclusive</t>
        </is>
      </c>
      <c r="D13" s="7" t="inlineStr">
        <is>
          <t xml:space="preserve">WARN</t>
        </is>
      </c>
      <c r="E13" s="7" t="inlineStr">
        <is>
          <t xml:space="preserve">LOW</t>
        </is>
      </c>
      <c r="F13" s="5" t="inlineStr">
        <is>
          <t xml:space="preserve">SITEMAP_NOT_FOUND</t>
        </is>
      </c>
      <c r="G13" s="7" t="inlineStr">
        <is>
          <t xml:space="preserve">G5</t>
        </is>
      </c>
      <c r="H13" s="9" t="inlineStr">
        <is>
          <t xml:space="preserve">https://developers.google.com/search/docs/crawling-indexing/sitemaps/build-sitemap</t>
        </is>
      </c>
      <c r="I13" s="11" t="inlineStr">
        <is>
          <t xml:space="preserve">Google — documented</t>
        </is>
      </c>
      <c r="J13" s="12" t="inlineStr">
        <is>
          <t xml:space="preserve">Tool policy</t>
        </is>
      </c>
      <c r="K13" s="5" t="inlineStr">
        <is>
          <t xml:space="preserve">Google documents the Sitemap: directive and the standard locations, and states that a sitemap is not required for every site. Absence is therefore reported, not failed. The WARN/LOW grading is tool policy.</t>
        </is>
      </c>
    </row>
    <row r="14" ht="15.75" customHeight="1">
      <c r="A14" s="5" t="inlineStr">
        <is>
          <t xml:space="preserve">C-1.2</t>
        </is>
      </c>
      <c r="B14" s="7" t="inlineStr">
        <is>
          <t xml:space="preserve">C-1.2-c</t>
        </is>
      </c>
      <c r="C14" s="5" t="inlineStr">
        <is>
          <t xml:space="preserve">robots.txt declares a sitemap, every variant of it returns 4xx/5xx or a network failure, and no other declared or standard-location parent sitemap returns 200</t>
        </is>
      </c>
      <c r="D14" s="7" t="inlineStr">
        <is>
          <t xml:space="preserve">FAIL</t>
        </is>
      </c>
      <c r="E14" s="7" t="inlineStr">
        <is>
          <t xml:space="preserve">HIGH</t>
        </is>
      </c>
      <c r="F14" s="5" t="inlineStr">
        <is>
          <t xml:space="preserve">DECLARED_SITEMAP_UNAVAILABLE</t>
        </is>
      </c>
      <c r="G14" s="7" t="inlineStr">
        <is>
          <t xml:space="preserve">G5, G2</t>
        </is>
      </c>
      <c r="H14" s="9" t="inlineStr">
        <is>
          <t xml:space="preserve">https://developers.google.com/search/docs/crawling-indexing/sitemaps/build-sitemap</t>
        </is>
      </c>
      <c r="I14" s="11" t="inlineStr">
        <is>
          <t xml:space="preserve">Google — documented</t>
        </is>
      </c>
      <c r="J14" s="12" t="inlineStr">
        <is>
          <t xml:space="preserve">Tool policy</t>
        </is>
      </c>
      <c r="K14" s="5" t="inlineStr">
        <is>
          <t xml:space="preserve">A URL the site advertises to crawlers in robots.txt, which does not resolve and has no working alternative, is a broken declaration. Both conditions are required: a dead declaration alongside a sitemap that does serve is C-1.2-j, not a failure.</t>
        </is>
      </c>
    </row>
    <row r="16">
      <c r="A16" s="5" t="s">
        <v>60</v>
      </c>
      <c r="B16" s="7" t="s">
        <v>164</v>
      </c>
      <c r="C16" s="5" t="s">
        <v>165</v>
      </c>
      <c r="D16" s="7" t="s">
        <v>102</v>
      </c>
      <c r="E16" s="7" t="s">
        <v>104</v>
      </c>
      <c r="F16" s="5" t="s">
        <v>167</v>
      </c>
      <c r="G16" s="7" t="s">
        <v>119</v>
      </c>
      <c r="H16" s="9" t="s">
        <v>68</v>
      </c>
      <c r="I16" s="11" t="s">
        <v>28</v>
      </c>
      <c r="J16" s="7"/>
      <c r="K16" s="5" t="s">
        <v>171</v>
      </c>
    </row>
    <row r="18">
      <c r="A18" s="5" t="s">
        <v>60</v>
      </c>
      <c r="B18" s="7" t="s">
        <v>178</v>
      </c>
      <c r="C18" s="5" t="s">
        <v>179</v>
      </c>
      <c r="D18" s="7" t="s">
        <v>175</v>
      </c>
      <c r="E18" s="7" t="s">
        <v>45</v>
      </c>
      <c r="F18" s="5" t="s">
        <v>180</v>
      </c>
      <c r="G18" s="7" t="s">
        <v>65</v>
      </c>
      <c r="H18" s="9" t="s">
        <v>68</v>
      </c>
      <c r="I18" s="11" t="s">
        <v>28</v>
      </c>
      <c r="J18" s="12" t="s">
        <v>69</v>
      </c>
      <c r="K18" s="5" t="s">
        <v>177</v>
      </c>
    </row>
    <row r="19">
      <c r="A19" s="5" t="s">
        <v>60</v>
      </c>
      <c r="B19" s="7" t="s">
        <v>182</v>
      </c>
      <c r="C19" s="5" t="s">
        <v>183</v>
      </c>
      <c r="D19" s="7" t="s">
        <v>184</v>
      </c>
      <c r="E19" s="7" t="s">
        <v>45</v>
      </c>
      <c r="F19" s="5" t="s">
        <v>186</v>
      </c>
      <c r="G19" s="7" t="s">
        <v>65</v>
      </c>
      <c r="H19" s="9" t="s">
        <v>68</v>
      </c>
      <c r="I19" s="11" t="s">
        <v>28</v>
      </c>
      <c r="J19" s="12" t="s">
        <v>69</v>
      </c>
      <c r="K19" s="5" t="s">
        <v>177</v>
      </c>
    </row>
    <row r="20" ht="15.75" customHeight="1">
      <c r="A20" s="5" t="inlineStr">
        <is>
          <t xml:space="preserve">C-1.2</t>
        </is>
      </c>
      <c r="B20" s="7" t="inlineStr">
        <is>
          <t xml:space="preserve">C-1.2-a</t>
        </is>
      </c>
      <c r="C20" s="5" t="inlineStr">
        <is>
          <t xml:space="preserve">At least one declared or standard-location parent sitemap reaches a final HTTP 200 (directly, or through a redirect chain)</t>
        </is>
      </c>
      <c r="D20" s="7" t="inlineStr">
        <is>
          <t xml:space="preserve">PASS</t>
        </is>
      </c>
      <c r="E20" s="7" t="inlineStr">
        <is>
          <t xml:space="preserve">—</t>
        </is>
      </c>
      <c r="F20" s="5" t="inlineStr">
        <is>
          <t xml:space="preserve">—</t>
        </is>
      </c>
      <c r="G20" s="7" t="inlineStr">
        <is>
          <t xml:space="preserve">G5, G6, G2, P1</t>
        </is>
      </c>
      <c r="H20" s="9" t="inlineStr">
        <is>
          <t xml:space="preserve">https://developers.google.com/search/docs/crawling-indexing/sitemaps/build-sitemap</t>
        </is>
      </c>
      <c r="I20" s="11" t="inlineStr">
        <is>
          <t xml:space="preserve">Google — documented</t>
        </is>
      </c>
      <c r="J20" s="12" t="inlineStr">
        <is>
          <t xml:space="preserve">Tool policy</t>
        </is>
      </c>
      <c r="K20" s="5" t="inlineStr">
        <is>
          <t xml:space="preserve">Inherits the factor-level source. Google documents the Sitemap: directive as a location source and sitemaps.org defines the root elements. PASS asks only that a parent sitemap can be located and fetched; the number of hostnames that also serve it is not a sitemap condition.</t>
        </is>
      </c>
    </row>
    <row r="21" ht="15.75" customHeight="1">
      <c r="A21" s="5" t="s">
        <v>89</v>
      </c>
      <c r="B21" s="7" t="s">
        <v>189</v>
      </c>
      <c r="C21" s="5" t="s">
        <v>190</v>
      </c>
      <c r="D21" s="7" t="s">
        <v>44</v>
      </c>
      <c r="E21" s="7" t="s">
        <v>45</v>
      </c>
      <c r="F21" s="5" t="s">
        <v>45</v>
      </c>
      <c r="G21" s="7" t="s">
        <v>93</v>
      </c>
      <c r="H21" s="9" t="s">
        <v>74</v>
      </c>
      <c r="I21" s="11" t="s">
        <v>28</v>
      </c>
      <c r="J21" s="12" t="s">
        <v>69</v>
      </c>
      <c r="K21" s="5" t="s">
        <v>199</v>
      </c>
    </row>
    <row r="22" ht="15.75" customHeight="1">
      <c r="A22" s="5" t="s">
        <v>89</v>
      </c>
      <c r="B22" s="7" t="s">
        <v>200</v>
      </c>
      <c r="C22" s="5" t="s">
        <v>201</v>
      </c>
      <c r="D22" s="7" t="s">
        <v>55</v>
      </c>
      <c r="E22" s="7" t="s">
        <v>56</v>
      </c>
      <c r="F22" s="5" t="s">
        <v>205</v>
      </c>
      <c r="G22" s="7" t="s">
        <v>71</v>
      </c>
      <c r="H22" s="9" t="s">
        <v>74</v>
      </c>
      <c r="I22" s="11" t="s">
        <v>28</v>
      </c>
      <c r="J22" s="7"/>
      <c r="K22" s="5" t="s">
        <v>209</v>
      </c>
    </row>
    <row r="23" ht="15.75" customHeight="1">
      <c r="A23" s="5" t="s">
        <v>89</v>
      </c>
      <c r="B23" s="7" t="s">
        <v>210</v>
      </c>
      <c r="C23" s="5" t="s">
        <v>211</v>
      </c>
      <c r="D23" s="7" t="s">
        <v>55</v>
      </c>
      <c r="E23" s="7" t="s">
        <v>66</v>
      </c>
      <c r="F23" s="5" t="s">
        <v>212</v>
      </c>
      <c r="G23" s="7" t="s">
        <v>93</v>
      </c>
      <c r="H23" s="9" t="s">
        <v>74</v>
      </c>
      <c r="I23" s="11" t="s">
        <v>28</v>
      </c>
      <c r="J23" s="12" t="s">
        <v>69</v>
      </c>
      <c r="K23" s="5" t="s">
        <v>199</v>
      </c>
    </row>
    <row r="24" ht="15.75" customHeight="1">
      <c r="A24" s="5" t="s">
        <v>89</v>
      </c>
      <c r="B24" s="7" t="s">
        <v>214</v>
      </c>
      <c r="C24" s="5" t="s">
        <v>216</v>
      </c>
      <c r="D24" s="7" t="s">
        <v>55</v>
      </c>
      <c r="E24" s="7" t="s">
        <v>66</v>
      </c>
      <c r="F24" s="5" t="s">
        <v>219</v>
      </c>
      <c r="G24" s="7" t="s">
        <v>71</v>
      </c>
      <c r="H24" s="9" t="s">
        <v>74</v>
      </c>
      <c r="I24" s="11" t="s">
        <v>28</v>
      </c>
      <c r="J24" s="7" t="s">
        <v>107</v>
      </c>
      <c r="K24" s="5" t="s">
        <v>220</v>
      </c>
    </row>
    <row r="25" ht="15.75" customHeight="1">
      <c r="A25" s="5" t="s">
        <v>89</v>
      </c>
      <c r="B25" s="7" t="s">
        <v>221</v>
      </c>
      <c r="C25" s="5" t="s">
        <v>222</v>
      </c>
      <c r="D25" s="7" t="s">
        <v>55</v>
      </c>
      <c r="E25" s="7" t="s">
        <v>66</v>
      </c>
      <c r="F25" s="5" t="s">
        <v>223</v>
      </c>
      <c r="G25" s="7" t="s">
        <v>224</v>
      </c>
      <c r="H25" s="9" t="s">
        <v>74</v>
      </c>
      <c r="I25" s="11" t="s">
        <v>28</v>
      </c>
      <c r="J25" s="12" t="s">
        <v>69</v>
      </c>
      <c r="K25" s="5" t="s">
        <v>225</v>
      </c>
    </row>
    <row r="26" ht="15.75" customHeight="1">
      <c r="A26" s="5" t="s">
        <v>89</v>
      </c>
      <c r="B26" s="7" t="s">
        <v>226</v>
      </c>
      <c r="C26" s="5" t="s">
        <v>227</v>
      </c>
      <c r="D26" s="7" t="s">
        <v>55</v>
      </c>
      <c r="E26" s="7" t="s">
        <v>66</v>
      </c>
      <c r="F26" s="5" t="s">
        <v>228</v>
      </c>
      <c r="G26" s="7" t="s">
        <v>224</v>
      </c>
      <c r="H26" s="9" t="s">
        <v>74</v>
      </c>
      <c r="I26" s="11" t="s">
        <v>28</v>
      </c>
      <c r="J26" s="12" t="s">
        <v>69</v>
      </c>
      <c r="K26" s="5" t="s">
        <v>229</v>
      </c>
    </row>
    <row r="27" ht="15.75" customHeight="1">
      <c r="A27" s="5" t="s">
        <v>89</v>
      </c>
      <c r="B27" s="7" t="s">
        <v>230</v>
      </c>
      <c r="C27" s="5" t="s">
        <v>231</v>
      </c>
      <c r="D27" s="7" t="s">
        <v>55</v>
      </c>
      <c r="E27" s="7" t="s">
        <v>66</v>
      </c>
      <c r="F27" s="5" t="s">
        <v>232</v>
      </c>
      <c r="G27" s="7" t="s">
        <v>93</v>
      </c>
      <c r="H27" s="9" t="s">
        <v>74</v>
      </c>
      <c r="I27" s="11" t="s">
        <v>28</v>
      </c>
      <c r="J27" s="12" t="s">
        <v>69</v>
      </c>
      <c r="K27" s="5" t="s">
        <v>199</v>
      </c>
    </row>
    <row r="28" ht="15.75" customHeight="1">
      <c r="A28" s="5" t="s">
        <v>89</v>
      </c>
      <c r="B28" s="7" t="s">
        <v>234</v>
      </c>
      <c r="C28" s="5" t="s">
        <v>236</v>
      </c>
      <c r="D28" s="7" t="s">
        <v>175</v>
      </c>
      <c r="E28" s="7" t="s">
        <v>45</v>
      </c>
      <c r="F28" s="5" t="s">
        <v>239</v>
      </c>
      <c r="G28" s="7" t="s">
        <v>93</v>
      </c>
      <c r="H28" s="9" t="s">
        <v>74</v>
      </c>
      <c r="I28" s="11" t="s">
        <v>28</v>
      </c>
      <c r="J28" s="12" t="s">
        <v>69</v>
      </c>
      <c r="K28" s="5" t="s">
        <v>199</v>
      </c>
    </row>
    <row r="29" ht="15.75" customHeight="1">
      <c r="A29" s="5" t="s">
        <v>89</v>
      </c>
      <c r="B29" s="7" t="s">
        <v>244</v>
      </c>
      <c r="C29" s="5" t="s">
        <v>245</v>
      </c>
      <c r="D29" s="7" t="s">
        <v>55</v>
      </c>
      <c r="E29" s="7" t="s">
        <v>56</v>
      </c>
      <c r="F29" s="5" t="s">
        <v>247</v>
      </c>
      <c r="G29" s="7" t="s">
        <v>248</v>
      </c>
      <c r="H29" s="9" t="s">
        <v>249</v>
      </c>
      <c r="I29" s="11" t="s">
        <v>28</v>
      </c>
      <c r="J29" s="7"/>
      <c r="K29" s="5" t="s">
        <v>254</v>
      </c>
    </row>
    <row r="30" ht="15.75" customHeight="1">
      <c r="A30" s="5" t="s">
        <v>89</v>
      </c>
      <c r="B30" s="7" t="s">
        <v>255</v>
      </c>
      <c r="C30" s="5" t="s">
        <v>256</v>
      </c>
      <c r="D30" s="7" t="s">
        <v>55</v>
      </c>
      <c r="E30" s="7" t="s">
        <v>66</v>
      </c>
      <c r="F30" s="5" t="s">
        <v>257</v>
      </c>
      <c r="G30" s="7" t="s">
        <v>258</v>
      </c>
      <c r="H30" s="9" t="s">
        <v>249</v>
      </c>
      <c r="I30" s="11" t="s">
        <v>28</v>
      </c>
      <c r="J30" s="7"/>
      <c r="K30" s="5" t="s">
        <v>259</v>
      </c>
    </row>
    <row r="31" ht="15.75" customHeight="1">
      <c r="A31" s="5" t="s">
        <v>89</v>
      </c>
      <c r="B31" s="7" t="s">
        <v>261</v>
      </c>
      <c r="C31" s="5" t="s">
        <v>263</v>
      </c>
      <c r="D31" s="7" t="s">
        <v>102</v>
      </c>
      <c r="E31" s="7" t="s">
        <v>104</v>
      </c>
      <c r="F31" s="5" t="s">
        <v>265</v>
      </c>
      <c r="G31" s="7" t="s">
        <v>81</v>
      </c>
      <c r="H31" s="9" t="s">
        <v>85</v>
      </c>
      <c r="I31" s="11" t="s">
        <v>28</v>
      </c>
      <c r="J31" s="7" t="s">
        <v>107</v>
      </c>
      <c r="K31" s="5" t="s">
        <v>271</v>
      </c>
    </row>
    <row r="32" ht="15.75" customHeight="1">
      <c r="A32" s="5" t="s">
        <v>89</v>
      </c>
      <c r="B32" s="7" t="s">
        <v>272</v>
      </c>
      <c r="C32" s="5" t="s">
        <v>273</v>
      </c>
      <c r="D32" s="7" t="s">
        <v>55</v>
      </c>
      <c r="E32" s="7" t="s">
        <v>66</v>
      </c>
      <c r="F32" s="5" t="s">
        <v>274</v>
      </c>
      <c r="G32" s="7" t="s">
        <v>99</v>
      </c>
      <c r="H32" s="9" t="s">
        <v>103</v>
      </c>
      <c r="I32" s="11" t="s">
        <v>28</v>
      </c>
      <c r="J32" s="7" t="s">
        <v>107</v>
      </c>
      <c r="K32" s="5" t="s">
        <v>279</v>
      </c>
    </row>
    <row r="33" ht="15.75" customHeight="1">
      <c r="A33" s="5" t="s">
        <v>89</v>
      </c>
      <c r="B33" s="7" t="s">
        <v>280</v>
      </c>
      <c r="C33" s="5" t="s">
        <v>281</v>
      </c>
      <c r="D33" s="7" t="s">
        <v>55</v>
      </c>
      <c r="E33" s="7" t="s">
        <v>66</v>
      </c>
      <c r="F33" s="5" t="s">
        <v>282</v>
      </c>
      <c r="G33" s="7" t="s">
        <v>93</v>
      </c>
      <c r="H33" s="9" t="s">
        <v>74</v>
      </c>
      <c r="I33" s="11" t="s">
        <v>28</v>
      </c>
      <c r="J33" s="12" t="s">
        <v>69</v>
      </c>
      <c r="K33" s="5" t="s">
        <v>199</v>
      </c>
    </row>
    <row r="34" ht="15.75" customHeight="1">
      <c r="A34" s="5" t="s">
        <v>89</v>
      </c>
      <c r="B34" s="7" t="s">
        <v>286</v>
      </c>
      <c r="C34" s="5" t="s">
        <v>287</v>
      </c>
      <c r="D34" s="7" t="s">
        <v>102</v>
      </c>
      <c r="E34" s="7" t="s">
        <v>104</v>
      </c>
      <c r="F34" s="5" t="s">
        <v>288</v>
      </c>
      <c r="G34" s="7" t="s">
        <v>93</v>
      </c>
      <c r="H34" s="9" t="s">
        <v>74</v>
      </c>
      <c r="I34" s="11" t="s">
        <v>28</v>
      </c>
      <c r="J34" s="12" t="s">
        <v>69</v>
      </c>
      <c r="K34" s="5" t="s">
        <v>199</v>
      </c>
    </row>
    <row r="35" ht="15.75" customHeight="1">
      <c r="A35" s="5" t="s">
        <v>89</v>
      </c>
      <c r="B35" s="7" t="s">
        <v>289</v>
      </c>
      <c r="C35" s="5" t="s">
        <v>290</v>
      </c>
      <c r="D35" s="7" t="s">
        <v>55</v>
      </c>
      <c r="E35" s="7" t="s">
        <v>56</v>
      </c>
      <c r="F35" s="5" t="s">
        <v>291</v>
      </c>
      <c r="G35" s="7" t="s">
        <v>71</v>
      </c>
      <c r="H35" s="9" t="s">
        <v>74</v>
      </c>
      <c r="I35" s="11" t="s">
        <v>28</v>
      </c>
      <c r="J35" s="7"/>
      <c r="K35" s="5" t="s">
        <v>292</v>
      </c>
    </row>
    <row r="36" ht="15.75" customHeight="1">
      <c r="A36" s="5" t="s">
        <v>89</v>
      </c>
      <c r="B36" s="7" t="s">
        <v>293</v>
      </c>
      <c r="C36" s="5" t="s">
        <v>295</v>
      </c>
      <c r="D36" s="7" t="s">
        <v>296</v>
      </c>
      <c r="E36" s="7" t="s">
        <v>45</v>
      </c>
      <c r="F36" s="5" t="s">
        <v>45</v>
      </c>
      <c r="G36" s="7" t="s">
        <v>93</v>
      </c>
      <c r="H36" s="9" t="s">
        <v>74</v>
      </c>
      <c r="I36" s="11" t="s">
        <v>28</v>
      </c>
      <c r="J36" s="12" t="s">
        <v>69</v>
      </c>
      <c r="K36" s="5" t="s">
        <v>199</v>
      </c>
    </row>
    <row r="37" ht="15.75" customHeight="1">
      <c r="A37" s="5" t="s">
        <v>89</v>
      </c>
      <c r="B37" s="7" t="s">
        <v>301</v>
      </c>
      <c r="C37" s="5" t="s">
        <v>302</v>
      </c>
      <c r="D37" s="7" t="s">
        <v>55</v>
      </c>
      <c r="E37" s="7" t="s">
        <v>66</v>
      </c>
      <c r="F37" s="5" t="s">
        <v>303</v>
      </c>
      <c r="G37" s="7" t="s">
        <v>304</v>
      </c>
      <c r="H37" s="9" t="s">
        <v>74</v>
      </c>
      <c r="I37" s="11" t="s">
        <v>28</v>
      </c>
      <c r="J37" s="7"/>
      <c r="K37" s="5" t="s">
        <v>305</v>
      </c>
    </row>
    <row r="38" ht="15.75" customHeight="1">
      <c r="A38" s="5" t="s">
        <v>89</v>
      </c>
      <c r="B38" s="7" t="s">
        <v>306</v>
      </c>
      <c r="C38" s="5" t="s">
        <v>307</v>
      </c>
      <c r="D38" s="7" t="s">
        <v>55</v>
      </c>
      <c r="E38" s="7" t="s">
        <v>66</v>
      </c>
      <c r="F38" s="5" t="s">
        <v>311</v>
      </c>
      <c r="G38" s="7" t="s">
        <v>304</v>
      </c>
      <c r="H38" s="9" t="s">
        <v>74</v>
      </c>
      <c r="I38" s="11" t="s">
        <v>28</v>
      </c>
      <c r="J38" s="7"/>
      <c r="K38" s="5" t="s">
        <v>305</v>
      </c>
    </row>
    <row r="39" ht="15.75" customHeight="1">
      <c r="A39" s="5" t="s">
        <v>127</v>
      </c>
      <c r="B39" s="7" t="s">
        <v>313</v>
      </c>
      <c r="C39" s="5" t="s">
        <v>315</v>
      </c>
      <c r="D39" s="7" t="s">
        <v>44</v>
      </c>
      <c r="E39" s="7" t="s">
        <v>45</v>
      </c>
      <c r="F39" s="5" t="s">
        <v>45</v>
      </c>
      <c r="G39" s="7" t="s">
        <v>132</v>
      </c>
      <c r="H39" s="9" t="s">
        <v>74</v>
      </c>
      <c r="I39" s="11" t="s">
        <v>28</v>
      </c>
      <c r="J39" s="12" t="s">
        <v>69</v>
      </c>
      <c r="K39" s="5" t="s">
        <v>317</v>
      </c>
    </row>
    <row r="40" ht="15.75" customHeight="1">
      <c r="A40" s="5" t="s">
        <v>127</v>
      </c>
      <c r="B40" s="7" t="s">
        <v>318</v>
      </c>
      <c r="C40" s="5" t="s">
        <v>319</v>
      </c>
      <c r="D40" s="7" t="s">
        <v>55</v>
      </c>
      <c r="E40" s="7" t="s">
        <v>56</v>
      </c>
      <c r="F40" s="5" t="s">
        <v>291</v>
      </c>
      <c r="G40" s="7" t="s">
        <v>71</v>
      </c>
      <c r="H40" s="9" t="s">
        <v>74</v>
      </c>
      <c r="I40" s="11" t="s">
        <v>28</v>
      </c>
      <c r="J40" s="7"/>
      <c r="K40" s="5" t="s">
        <v>292</v>
      </c>
    </row>
    <row r="41" ht="15.75" customHeight="1">
      <c r="A41" s="5" t="inlineStr">
        <is>
          <t xml:space="preserve">C-1.4</t>
        </is>
      </c>
      <c r="B41" s="7" t="inlineStr">
        <is>
          <t xml:space="preserve">C-1.4-c</t>
        </is>
      </c>
      <c r="C41" s="5" t="inlineStr">
        <is>
          <t xml:space="preserve">Two or more origin variants serve equivalent real content and none redirects to a single preferred origin</t>
        </is>
      </c>
      <c r="D41" s="7" t="inlineStr">
        <is>
          <t xml:space="preserve">WARN</t>
        </is>
      </c>
      <c r="E41" s="7" t="inlineStr">
        <is>
          <t xml:space="preserve">HIGH</t>
        </is>
      </c>
      <c r="F41" s="5" t="inlineStr">
        <is>
          <t xml:space="preserve">MULTIPLE_LIVE_ORIGINS</t>
        </is>
      </c>
      <c r="G41" s="7" t="inlineStr">
        <is>
          <t xml:space="preserve">G7, G2</t>
        </is>
      </c>
      <c r="H41" s="9" t="inlineStr">
        <is>
          <t xml:space="preserve">https://developers.google.com/search/docs/crawling-indexing/consolidate-duplicate-urls</t>
        </is>
      </c>
      <c r="I41" s="11" t="inlineStr">
        <is>
          <t xml:space="preserve">Google — documented</t>
        </is>
      </c>
      <c r="J41" s="12" t="inlineStr">
        <is>
          <t xml:space="preserve">Tool policy</t>
        </is>
      </c>
      <c r="K41" s="5" t="inlineStr">
        <is>
          <t xml:space="preserve">Downgraded from FAIL. Google documents that it consolidates duplicate URLs and picks a canonical itself, so a site reachable at several origins is diluting signals rather than failing. Reported prominently; not graded as breakage. The severity is tool policy.</t>
        </is>
      </c>
    </row>
    <row r="42" ht="15.75" customHeight="1">
      <c r="A42" s="5" t="s">
        <v>127</v>
      </c>
      <c r="B42" s="7" t="s">
        <v>325</v>
      </c>
      <c r="C42" s="5" t="s">
        <v>326</v>
      </c>
      <c r="D42" s="7" t="s">
        <v>55</v>
      </c>
      <c r="E42" s="7" t="s">
        <v>66</v>
      </c>
      <c r="F42" s="5" t="s">
        <v>327</v>
      </c>
      <c r="G42" s="7" t="s">
        <v>157</v>
      </c>
      <c r="H42" s="5" t="s">
        <v>158</v>
      </c>
      <c r="I42" s="20" t="s">
        <v>106</v>
      </c>
      <c r="J42" s="12" t="s">
        <v>69</v>
      </c>
      <c r="K42" s="5" t="s">
        <v>338</v>
      </c>
    </row>
    <row r="43" ht="15.75" customHeight="1">
      <c r="A43" s="5" t="s">
        <v>127</v>
      </c>
      <c r="B43" s="7" t="s">
        <v>339</v>
      </c>
      <c r="C43" s="5" t="s">
        <v>340</v>
      </c>
      <c r="D43" s="7" t="s">
        <v>55</v>
      </c>
      <c r="E43" s="7" t="s">
        <v>56</v>
      </c>
      <c r="F43" s="5" t="s">
        <v>341</v>
      </c>
      <c r="G43" s="7" t="s">
        <v>71</v>
      </c>
      <c r="H43" s="9" t="s">
        <v>74</v>
      </c>
      <c r="I43" s="11" t="s">
        <v>28</v>
      </c>
      <c r="J43" s="7" t="s">
        <v>107</v>
      </c>
      <c r="K43" s="5" t="s">
        <v>343</v>
      </c>
    </row>
    <row r="44" ht="15.75" customHeight="1">
      <c r="A44" s="5" t="s">
        <v>127</v>
      </c>
      <c r="B44" s="7" t="s">
        <v>344</v>
      </c>
      <c r="C44" s="5" t="s">
        <v>345</v>
      </c>
      <c r="D44" s="7" t="s">
        <v>102</v>
      </c>
      <c r="E44" s="7" t="s">
        <v>104</v>
      </c>
      <c r="F44" s="5" t="s">
        <v>346</v>
      </c>
      <c r="G44" s="7" t="s">
        <v>132</v>
      </c>
      <c r="H44" s="9" t="s">
        <v>74</v>
      </c>
      <c r="I44" s="11" t="s">
        <v>28</v>
      </c>
      <c r="J44" s="7"/>
      <c r="K44" s="5" t="s">
        <v>317</v>
      </c>
    </row>
    <row r="45" ht="15.75" customHeight="1">
      <c r="A45" s="5" t="s">
        <v>127</v>
      </c>
      <c r="B45" s="7" t="s">
        <v>347</v>
      </c>
      <c r="C45" s="5" t="s">
        <v>348</v>
      </c>
      <c r="D45" s="7" t="s">
        <v>55</v>
      </c>
      <c r="E45" s="7" t="s">
        <v>56</v>
      </c>
      <c r="F45" s="5" t="s">
        <v>349</v>
      </c>
      <c r="G45" s="7" t="s">
        <v>132</v>
      </c>
      <c r="H45" s="9" t="s">
        <v>74</v>
      </c>
      <c r="I45" s="11" t="s">
        <v>28</v>
      </c>
      <c r="J45" s="7"/>
      <c r="K45" s="5" t="s">
        <v>317</v>
      </c>
    </row>
    <row r="46" ht="15.75" customHeight="1">
      <c r="A46" s="5" t="s">
        <v>127</v>
      </c>
      <c r="B46" s="7" t="s">
        <v>350</v>
      </c>
      <c r="C46" s="5" t="s">
        <v>351</v>
      </c>
      <c r="D46" s="7" t="s">
        <v>102</v>
      </c>
      <c r="E46" s="7" t="s">
        <v>66</v>
      </c>
      <c r="F46" s="5" t="s">
        <v>352</v>
      </c>
      <c r="G46" s="7" t="s">
        <v>71</v>
      </c>
      <c r="H46" s="9" t="s">
        <v>74</v>
      </c>
      <c r="I46" s="11" t="s">
        <v>28</v>
      </c>
      <c r="J46" s="12" t="s">
        <v>69</v>
      </c>
      <c r="K46" s="5" t="s">
        <v>354</v>
      </c>
    </row>
    <row r="47" ht="15.75" customHeight="1">
      <c r="A47" s="5" t="s">
        <v>127</v>
      </c>
      <c r="B47" s="7" t="s">
        <v>357</v>
      </c>
      <c r="C47" s="5" t="s">
        <v>360</v>
      </c>
      <c r="D47" s="7" t="s">
        <v>55</v>
      </c>
      <c r="E47" s="7" t="s">
        <v>66</v>
      </c>
      <c r="F47" s="5" t="s">
        <v>362</v>
      </c>
      <c r="G47" s="7" t="s">
        <v>132</v>
      </c>
      <c r="H47" s="9" t="s">
        <v>74</v>
      </c>
      <c r="I47" s="11" t="s">
        <v>28</v>
      </c>
      <c r="J47" s="7"/>
      <c r="K47" s="5" t="s">
        <v>317</v>
      </c>
    </row>
    <row r="48" ht="15.75" customHeight="1">
      <c r="A48" s="5" t="s">
        <v>127</v>
      </c>
      <c r="B48" s="7" t="s">
        <v>366</v>
      </c>
      <c r="C48" s="5" t="s">
        <v>367</v>
      </c>
      <c r="D48" s="7" t="s">
        <v>102</v>
      </c>
      <c r="E48" s="7" t="s">
        <v>104</v>
      </c>
      <c r="F48" s="5" t="s">
        <v>368</v>
      </c>
      <c r="G48" s="7" t="s">
        <v>224</v>
      </c>
      <c r="H48" s="9" t="s">
        <v>74</v>
      </c>
      <c r="I48" s="11" t="s">
        <v>28</v>
      </c>
      <c r="J48" s="7"/>
      <c r="K48" s="5" t="s">
        <v>369</v>
      </c>
    </row>
    <row r="49" ht="15.75" customHeight="1">
      <c r="A49" s="5" t="s">
        <v>127</v>
      </c>
      <c r="B49" s="7" t="s">
        <v>370</v>
      </c>
      <c r="C49" s="5" t="s">
        <v>371</v>
      </c>
      <c r="D49" s="7" t="s">
        <v>102</v>
      </c>
      <c r="E49" s="7" t="s">
        <v>66</v>
      </c>
      <c r="F49" s="5" t="s">
        <v>372</v>
      </c>
      <c r="G49" s="7" t="s">
        <v>132</v>
      </c>
      <c r="H49" s="9" t="s">
        <v>74</v>
      </c>
      <c r="I49" s="11" t="s">
        <v>28</v>
      </c>
      <c r="J49" s="7"/>
      <c r="K49" s="5" t="s">
        <v>317</v>
      </c>
    </row>
    <row r="50" ht="15.75" customHeight="1">
      <c r="A50" s="5" t="s">
        <v>127</v>
      </c>
      <c r="B50" s="7" t="s">
        <v>373</v>
      </c>
      <c r="C50" s="5" t="s">
        <v>376</v>
      </c>
      <c r="D50" s="7" t="s">
        <v>55</v>
      </c>
      <c r="E50" s="7" t="s">
        <v>66</v>
      </c>
      <c r="F50" s="5" t="s">
        <v>381</v>
      </c>
      <c r="G50" s="7" t="s">
        <v>132</v>
      </c>
      <c r="H50" s="9" t="s">
        <v>74</v>
      </c>
      <c r="I50" s="11" t="s">
        <v>28</v>
      </c>
      <c r="J50" s="7"/>
      <c r="K50" s="5" t="s">
        <v>317</v>
      </c>
    </row>
    <row r="51" ht="15.75" customHeight="1">
      <c r="A51" s="5" t="s">
        <v>127</v>
      </c>
      <c r="B51" s="7" t="s">
        <v>384</v>
      </c>
      <c r="C51" s="5" t="s">
        <v>386</v>
      </c>
      <c r="D51" s="7" t="s">
        <v>102</v>
      </c>
      <c r="E51" s="7" t="s">
        <v>104</v>
      </c>
      <c r="F51" s="5" t="s">
        <v>388</v>
      </c>
      <c r="G51" s="7" t="s">
        <v>132</v>
      </c>
      <c r="H51" s="9" t="s">
        <v>74</v>
      </c>
      <c r="I51" s="11" t="s">
        <v>28</v>
      </c>
      <c r="J51" s="7"/>
      <c r="K51" s="5" t="s">
        <v>317</v>
      </c>
    </row>
    <row r="52" ht="15.75" customHeight="1">
      <c r="A52" s="5" t="s">
        <v>127</v>
      </c>
      <c r="B52" s="7" t="s">
        <v>395</v>
      </c>
      <c r="C52" s="5" t="s">
        <v>396</v>
      </c>
      <c r="D52" s="7" t="s">
        <v>102</v>
      </c>
      <c r="E52" s="7" t="s">
        <v>66</v>
      </c>
      <c r="F52" s="5" t="s">
        <v>397</v>
      </c>
      <c r="G52" s="7" t="s">
        <v>132</v>
      </c>
      <c r="H52" s="9" t="s">
        <v>74</v>
      </c>
      <c r="I52" s="11" t="s">
        <v>28</v>
      </c>
      <c r="J52" s="7"/>
      <c r="K52" s="5" t="s">
        <v>317</v>
      </c>
    </row>
    <row r="53" ht="15.75" customHeight="1">
      <c r="A53" s="5" t="s">
        <v>127</v>
      </c>
      <c r="B53" s="7" t="s">
        <v>405</v>
      </c>
      <c r="C53" s="5" t="s">
        <v>406</v>
      </c>
      <c r="D53" s="7" t="s">
        <v>102</v>
      </c>
      <c r="E53" s="7" t="s">
        <v>122</v>
      </c>
      <c r="F53" s="5" t="s">
        <v>410</v>
      </c>
      <c r="G53" s="7" t="s">
        <v>132</v>
      </c>
      <c r="H53" s="9" t="s">
        <v>74</v>
      </c>
      <c r="I53" s="11" t="s">
        <v>28</v>
      </c>
      <c r="J53" s="7"/>
      <c r="K53" s="5" t="s">
        <v>317</v>
      </c>
    </row>
    <row r="54" ht="15.75" customHeight="1">
      <c r="A54" s="5" t="s">
        <v>138</v>
      </c>
      <c r="B54" s="7" t="s">
        <v>399</v>
      </c>
      <c r="C54" s="5" t="s">
        <v>401</v>
      </c>
      <c r="D54" s="7" t="s">
        <v>44</v>
      </c>
      <c r="E54" s="7" t="s">
        <v>45</v>
      </c>
      <c r="F54" s="5" t="s">
        <v>45</v>
      </c>
      <c r="G54" s="7" t="s">
        <v>140</v>
      </c>
      <c r="H54" s="9" t="s">
        <v>142</v>
      </c>
      <c r="I54" s="11" t="s">
        <v>28</v>
      </c>
      <c r="J54" s="12" t="s">
        <v>69</v>
      </c>
      <c r="K54" s="5" t="s">
        <v>452</v>
      </c>
    </row>
    <row r="55" ht="15.75" customHeight="1">
      <c r="A55" s="5" t="s">
        <v>138</v>
      </c>
      <c r="B55" s="7" t="s">
        <v>407</v>
      </c>
      <c r="C55" s="5" t="s">
        <v>408</v>
      </c>
      <c r="D55" s="7" t="s">
        <v>55</v>
      </c>
      <c r="E55" s="7" t="s">
        <v>66</v>
      </c>
      <c r="F55" s="5" t="s">
        <v>409</v>
      </c>
      <c r="G55" s="7" t="s">
        <v>140</v>
      </c>
      <c r="H55" s="9" t="s">
        <v>142</v>
      </c>
      <c r="I55" s="11" t="s">
        <v>28</v>
      </c>
      <c r="J55" s="12" t="s">
        <v>69</v>
      </c>
      <c r="K55" s="5" t="s">
        <v>459</v>
      </c>
    </row>
    <row r="56" ht="15.75" customHeight="1">
      <c r="A56" s="5" t="s">
        <v>138</v>
      </c>
      <c r="B56" s="7" t="s">
        <v>461</v>
      </c>
      <c r="C56" s="5" t="s">
        <v>463</v>
      </c>
      <c r="D56" s="7" t="s">
        <v>55</v>
      </c>
      <c r="E56" s="7" t="s">
        <v>66</v>
      </c>
      <c r="F56" s="5" t="s">
        <v>466</v>
      </c>
      <c r="G56" s="7" t="s">
        <v>140</v>
      </c>
      <c r="H56" s="9" t="s">
        <v>142</v>
      </c>
      <c r="I56" s="11" t="s">
        <v>28</v>
      </c>
      <c r="J56" s="7"/>
      <c r="K56" s="5" t="s">
        <v>470</v>
      </c>
    </row>
    <row r="57" ht="15.75" customHeight="1">
      <c r="A57" s="5" t="s">
        <v>138</v>
      </c>
      <c r="B57" s="7" t="s">
        <v>471</v>
      </c>
      <c r="C57" s="5" t="s">
        <v>473</v>
      </c>
      <c r="D57" s="7" t="s">
        <v>102</v>
      </c>
      <c r="E57" s="7" t="s">
        <v>104</v>
      </c>
      <c r="F57" s="5" t="s">
        <v>476</v>
      </c>
      <c r="G57" s="7" t="s">
        <v>477</v>
      </c>
      <c r="H57" s="9" t="s">
        <v>142</v>
      </c>
      <c r="I57" s="11" t="s">
        <v>28</v>
      </c>
      <c r="J57" s="7"/>
      <c r="K57" s="5" t="s">
        <v>483</v>
      </c>
    </row>
    <row r="58" ht="15.75" customHeight="1">
      <c r="A58" s="5" t="s">
        <v>138</v>
      </c>
      <c r="B58" s="7" t="s">
        <v>495</v>
      </c>
      <c r="C58" s="5" t="s">
        <v>498</v>
      </c>
      <c r="D58" s="7" t="s">
        <v>55</v>
      </c>
      <c r="E58" s="7" t="s">
        <v>66</v>
      </c>
      <c r="F58" s="5" t="s">
        <v>503</v>
      </c>
      <c r="G58" s="7" t="s">
        <v>140</v>
      </c>
      <c r="H58" s="9" t="s">
        <v>142</v>
      </c>
      <c r="I58" s="11" t="s">
        <v>28</v>
      </c>
      <c r="J58" s="7"/>
      <c r="K58" s="5" t="s">
        <v>452</v>
      </c>
    </row>
    <row r="59" ht="15.75" customHeight="1">
      <c r="A59" s="5" t="s">
        <v>138</v>
      </c>
      <c r="B59" s="7" t="s">
        <v>509</v>
      </c>
      <c r="C59" s="5" t="s">
        <v>510</v>
      </c>
      <c r="D59" s="7" t="s">
        <v>55</v>
      </c>
      <c r="E59" s="7" t="s">
        <v>66</v>
      </c>
      <c r="F59" s="5" t="s">
        <v>512</v>
      </c>
      <c r="G59" s="7" t="s">
        <v>140</v>
      </c>
      <c r="H59" s="9" t="s">
        <v>142</v>
      </c>
      <c r="I59" s="11" t="s">
        <v>28</v>
      </c>
      <c r="J59" s="7"/>
      <c r="K59" s="5" t="s">
        <v>452</v>
      </c>
    </row>
    <row r="60" ht="15.75" customHeight="1">
      <c r="A60" s="5" t="s">
        <v>138</v>
      </c>
      <c r="B60" s="7" t="s">
        <v>518</v>
      </c>
      <c r="C60" s="5" t="s">
        <v>520</v>
      </c>
      <c r="D60" s="7" t="s">
        <v>55</v>
      </c>
      <c r="E60" s="7" t="s">
        <v>104</v>
      </c>
      <c r="F60" s="5" t="s">
        <v>523</v>
      </c>
      <c r="G60" s="7" t="s">
        <v>140</v>
      </c>
      <c r="H60" s="9" t="s">
        <v>142</v>
      </c>
      <c r="I60" s="11" t="s">
        <v>28</v>
      </c>
      <c r="J60" s="7"/>
      <c r="K60" s="5" t="s">
        <v>452</v>
      </c>
    </row>
    <row r="61" ht="15.75" customHeight="1">
      <c r="A61" s="5" t="s">
        <v>138</v>
      </c>
      <c r="B61" s="7" t="s">
        <v>529</v>
      </c>
      <c r="C61" s="5" t="s">
        <v>531</v>
      </c>
      <c r="D61" s="7" t="s">
        <v>55</v>
      </c>
      <c r="E61" s="7" t="s">
        <v>66</v>
      </c>
      <c r="F61" s="5" t="s">
        <v>533</v>
      </c>
      <c r="G61" s="7" t="s">
        <v>534</v>
      </c>
      <c r="H61" s="9" t="s">
        <v>142</v>
      </c>
      <c r="I61" s="11" t="s">
        <v>28</v>
      </c>
      <c r="J61" s="7"/>
      <c r="K61" s="5" t="s">
        <v>538</v>
      </c>
    </row>
    <row r="62" ht="15.75" customHeight="1">
      <c r="A62" s="5" t="s">
        <v>138</v>
      </c>
      <c r="B62" s="7" t="s">
        <v>540</v>
      </c>
      <c r="C62" s="5" t="s">
        <v>543</v>
      </c>
      <c r="D62" s="7" t="s">
        <v>55</v>
      </c>
      <c r="E62" s="7" t="s">
        <v>66</v>
      </c>
      <c r="F62" s="5" t="s">
        <v>548</v>
      </c>
      <c r="G62" s="7" t="s">
        <v>140</v>
      </c>
      <c r="H62" s="9" t="s">
        <v>142</v>
      </c>
      <c r="I62" s="11" t="s">
        <v>28</v>
      </c>
      <c r="J62" s="7"/>
      <c r="K62" s="5" t="s">
        <v>452</v>
      </c>
    </row>
    <row r="63" ht="15.75" customHeight="1">
      <c r="A63" s="5" t="s">
        <v>138</v>
      </c>
      <c r="B63" s="7" t="s">
        <v>563</v>
      </c>
      <c r="C63" s="5" t="s">
        <v>565</v>
      </c>
      <c r="D63" s="7" t="s">
        <v>55</v>
      </c>
      <c r="E63" s="7" t="s">
        <v>66</v>
      </c>
      <c r="F63" s="5" t="s">
        <v>569</v>
      </c>
      <c r="G63" s="7" t="s">
        <v>140</v>
      </c>
      <c r="H63" s="9" t="s">
        <v>142</v>
      </c>
      <c r="I63" s="11" t="s">
        <v>28</v>
      </c>
      <c r="J63" s="7"/>
      <c r="K63" s="5" t="s">
        <v>452</v>
      </c>
    </row>
    <row r="64" ht="15.75" customHeight="1">
      <c r="A64" s="5" t="s">
        <v>138</v>
      </c>
      <c r="B64" s="7" t="s">
        <v>575</v>
      </c>
      <c r="C64" s="5" t="s">
        <v>578</v>
      </c>
      <c r="D64" s="7" t="s">
        <v>102</v>
      </c>
      <c r="E64" s="7" t="s">
        <v>104</v>
      </c>
      <c r="F64" s="5" t="s">
        <v>582</v>
      </c>
      <c r="G64" s="7" t="s">
        <v>140</v>
      </c>
      <c r="H64" s="9" t="s">
        <v>142</v>
      </c>
      <c r="I64" s="11" t="s">
        <v>28</v>
      </c>
      <c r="J64" s="7"/>
      <c r="K64" s="5" t="s">
        <v>452</v>
      </c>
    </row>
    <row r="65" ht="15.75" customHeight="1">
      <c r="A65" s="5" t="s">
        <v>138</v>
      </c>
      <c r="B65" s="7" t="s">
        <v>589</v>
      </c>
      <c r="C65" s="5" t="s">
        <v>592</v>
      </c>
      <c r="D65" s="7" t="s">
        <v>102</v>
      </c>
      <c r="E65" s="7" t="s">
        <v>104</v>
      </c>
      <c r="F65" s="5" t="s">
        <v>595</v>
      </c>
      <c r="G65" s="7" t="s">
        <v>140</v>
      </c>
      <c r="H65" s="9" t="s">
        <v>142</v>
      </c>
      <c r="I65" s="11" t="s">
        <v>28</v>
      </c>
      <c r="J65" s="7"/>
      <c r="K65" s="5" t="s">
        <v>452</v>
      </c>
    </row>
    <row r="66" ht="15.75" customHeight="1">
      <c r="A66" s="5" t="s">
        <v>138</v>
      </c>
      <c r="B66" s="7" t="s">
        <v>603</v>
      </c>
      <c r="C66" s="5" t="s">
        <v>605</v>
      </c>
      <c r="D66" s="7" t="s">
        <v>102</v>
      </c>
      <c r="E66" s="7" t="s">
        <v>104</v>
      </c>
      <c r="F66" s="5" t="s">
        <v>622</v>
      </c>
      <c r="G66" s="7" t="s">
        <v>140</v>
      </c>
      <c r="H66" s="9" t="s">
        <v>142</v>
      </c>
      <c r="I66" s="11" t="s">
        <v>28</v>
      </c>
      <c r="J66" s="7"/>
      <c r="K66" s="5" t="s">
        <v>452</v>
      </c>
    </row>
    <row r="67" ht="15.75" customHeight="1">
      <c r="A67" s="5" t="s">
        <v>138</v>
      </c>
      <c r="B67" s="7" t="s">
        <v>631</v>
      </c>
      <c r="C67" s="5" t="s">
        <v>633</v>
      </c>
      <c r="D67" s="7" t="s">
        <v>102</v>
      </c>
      <c r="E67" s="7" t="s">
        <v>66</v>
      </c>
      <c r="F67" s="5" t="s">
        <v>634</v>
      </c>
      <c r="G67" s="7" t="s">
        <v>140</v>
      </c>
      <c r="H67" s="9" t="s">
        <v>142</v>
      </c>
      <c r="I67" s="11" t="s">
        <v>28</v>
      </c>
      <c r="J67" s="7"/>
      <c r="K67" s="5" t="s">
        <v>452</v>
      </c>
    </row>
    <row r="68" ht="15.75" customHeight="1">
      <c r="A68" s="5" t="s">
        <v>138</v>
      </c>
      <c r="B68" s="7" t="s">
        <v>639</v>
      </c>
      <c r="C68" s="5" t="s">
        <v>641</v>
      </c>
      <c r="D68" s="7" t="s">
        <v>55</v>
      </c>
      <c r="E68" s="7" t="s">
        <v>66</v>
      </c>
      <c r="F68" s="5" t="s">
        <v>643</v>
      </c>
      <c r="G68" s="7" t="s">
        <v>140</v>
      </c>
      <c r="H68" s="9" t="s">
        <v>142</v>
      </c>
      <c r="I68" s="11" t="s">
        <v>28</v>
      </c>
      <c r="J68" s="7"/>
      <c r="K68" s="5" t="s">
        <v>452</v>
      </c>
    </row>
    <row r="69" ht="15.75" customHeight="1">
      <c r="A69" s="5" t="s">
        <v>138</v>
      </c>
      <c r="B69" s="7" t="s">
        <v>648</v>
      </c>
      <c r="C69" s="5" t="s">
        <v>650</v>
      </c>
      <c r="D69" s="7" t="s">
        <v>55</v>
      </c>
      <c r="E69" s="7" t="s">
        <v>66</v>
      </c>
      <c r="F69" s="5" t="s">
        <v>655</v>
      </c>
      <c r="G69" s="7" t="s">
        <v>140</v>
      </c>
      <c r="H69" s="9" t="s">
        <v>142</v>
      </c>
      <c r="I69" s="11" t="s">
        <v>28</v>
      </c>
      <c r="J69" s="7"/>
      <c r="K69" s="5" t="s">
        <v>452</v>
      </c>
    </row>
    <row r="70" ht="15.75" customHeight="1">
      <c r="A70" s="5" t="s">
        <v>138</v>
      </c>
      <c r="B70" s="7" t="s">
        <v>659</v>
      </c>
      <c r="C70" s="5" t="s">
        <v>660</v>
      </c>
      <c r="D70" s="7" t="s">
        <v>102</v>
      </c>
      <c r="E70" s="7" t="s">
        <v>104</v>
      </c>
      <c r="F70" s="5" t="s">
        <v>662</v>
      </c>
      <c r="G70" s="7" t="s">
        <v>140</v>
      </c>
      <c r="H70" s="9" t="s">
        <v>142</v>
      </c>
      <c r="I70" s="11" t="s">
        <v>28</v>
      </c>
      <c r="J70" s="7"/>
      <c r="K70" s="5" t="s">
        <v>452</v>
      </c>
    </row>
    <row r="71" ht="15.75" customHeight="1">
      <c r="A71" s="5" t="s">
        <v>138</v>
      </c>
      <c r="B71" s="7" t="s">
        <v>668</v>
      </c>
      <c r="C71" s="5" t="s">
        <v>669</v>
      </c>
      <c r="D71" s="7" t="s">
        <v>102</v>
      </c>
      <c r="E71" s="7" t="s">
        <v>122</v>
      </c>
      <c r="F71" s="5" t="s">
        <v>672</v>
      </c>
      <c r="G71" s="7" t="s">
        <v>140</v>
      </c>
      <c r="H71" s="9" t="s">
        <v>142</v>
      </c>
      <c r="I71" s="11" t="s">
        <v>28</v>
      </c>
      <c r="J71" s="7"/>
      <c r="K71" s="5" t="s">
        <v>452</v>
      </c>
    </row>
    <row r="72" ht="15.75" customHeight="1">
      <c r="A72" s="5" t="s">
        <v>138</v>
      </c>
      <c r="B72" s="7" t="s">
        <v>682</v>
      </c>
      <c r="C72" s="5" t="s">
        <v>683</v>
      </c>
      <c r="D72" s="7" t="s">
        <v>102</v>
      </c>
      <c r="E72" s="7" t="s">
        <v>104</v>
      </c>
      <c r="F72" s="5" t="s">
        <v>687</v>
      </c>
      <c r="G72" s="7" t="s">
        <v>140</v>
      </c>
      <c r="H72" s="9" t="s">
        <v>142</v>
      </c>
      <c r="I72" s="11" t="s">
        <v>28</v>
      </c>
      <c r="J72" s="7"/>
      <c r="K72" s="5" t="s">
        <v>452</v>
      </c>
    </row>
    <row r="73" ht="15.75" customHeight="1">
      <c r="A73" s="5" t="s">
        <v>138</v>
      </c>
      <c r="B73" s="7" t="s">
        <v>691</v>
      </c>
      <c r="C73" s="5" t="s">
        <v>692</v>
      </c>
      <c r="D73" s="7" t="s">
        <v>102</v>
      </c>
      <c r="E73" s="7" t="s">
        <v>66</v>
      </c>
      <c r="F73" s="5" t="s">
        <v>696</v>
      </c>
      <c r="G73" s="7" t="s">
        <v>140</v>
      </c>
      <c r="H73" s="9" t="s">
        <v>142</v>
      </c>
      <c r="I73" s="11" t="s">
        <v>28</v>
      </c>
      <c r="J73" s="7"/>
      <c r="K73" s="5" t="s">
        <v>698</v>
      </c>
    </row>
    <row r="74" ht="15.75" customHeight="1">
      <c r="A74" s="5" t="s">
        <v>168</v>
      </c>
      <c r="B74" s="7" t="s">
        <v>701</v>
      </c>
      <c r="C74" s="5" t="s">
        <v>702</v>
      </c>
      <c r="D74" s="7" t="s">
        <v>44</v>
      </c>
      <c r="E74" s="7" t="s">
        <v>45</v>
      </c>
      <c r="F74" s="5" t="s">
        <v>45</v>
      </c>
      <c r="G74" s="7" t="s">
        <v>170</v>
      </c>
      <c r="H74" s="9" t="s">
        <v>172</v>
      </c>
      <c r="I74" s="11" t="s">
        <v>28</v>
      </c>
      <c r="J74" s="7"/>
      <c r="K74" s="5" t="s">
        <v>726</v>
      </c>
    </row>
    <row r="75" ht="15.75" customHeight="1">
      <c r="A75" s="5" t="s">
        <v>168</v>
      </c>
      <c r="B75" s="7" t="s">
        <v>728</v>
      </c>
      <c r="C75" s="5" t="s">
        <v>729</v>
      </c>
      <c r="D75" s="7" t="s">
        <v>55</v>
      </c>
      <c r="E75" s="7" t="s">
        <v>56</v>
      </c>
      <c r="F75" s="5" t="s">
        <v>732</v>
      </c>
      <c r="G75" s="7" t="s">
        <v>170</v>
      </c>
      <c r="H75" s="9" t="s">
        <v>172</v>
      </c>
      <c r="I75" s="11" t="s">
        <v>28</v>
      </c>
      <c r="J75" s="7"/>
      <c r="K75" s="5" t="s">
        <v>736</v>
      </c>
    </row>
    <row r="76" ht="15.75" customHeight="1">
      <c r="A76" s="5" t="s">
        <v>168</v>
      </c>
      <c r="B76" s="7" t="s">
        <v>738</v>
      </c>
      <c r="C76" s="5" t="s">
        <v>739</v>
      </c>
      <c r="D76" s="7" t="s">
        <v>55</v>
      </c>
      <c r="E76" s="7" t="s">
        <v>56</v>
      </c>
      <c r="F76" s="5" t="s">
        <v>742</v>
      </c>
      <c r="G76" s="7" t="s">
        <v>170</v>
      </c>
      <c r="H76" s="9" t="s">
        <v>172</v>
      </c>
      <c r="I76" s="11" t="s">
        <v>28</v>
      </c>
      <c r="J76" s="7"/>
      <c r="K76" s="5" t="s">
        <v>747</v>
      </c>
    </row>
    <row r="77" ht="15.75" customHeight="1">
      <c r="A77" s="5" t="s">
        <v>168</v>
      </c>
      <c r="B77" s="7" t="s">
        <v>750</v>
      </c>
      <c r="C77" s="5" t="s">
        <v>752</v>
      </c>
      <c r="D77" s="7" t="s">
        <v>102</v>
      </c>
      <c r="E77" s="7" t="s">
        <v>66</v>
      </c>
      <c r="F77" s="5" t="s">
        <v>754</v>
      </c>
      <c r="G77" s="7" t="s">
        <v>170</v>
      </c>
      <c r="H77" s="9" t="s">
        <v>172</v>
      </c>
      <c r="I77" s="11" t="s">
        <v>28</v>
      </c>
      <c r="J77" s="7"/>
      <c r="K77" s="5" t="s">
        <v>726</v>
      </c>
    </row>
    <row r="78" ht="15.75" customHeight="1">
      <c r="A78" s="5" t="s">
        <v>168</v>
      </c>
      <c r="B78" s="7" t="s">
        <v>762</v>
      </c>
      <c r="C78" s="5" t="s">
        <v>765</v>
      </c>
      <c r="D78" s="7" t="s">
        <v>55</v>
      </c>
      <c r="E78" s="7" t="s">
        <v>66</v>
      </c>
      <c r="F78" s="5" t="s">
        <v>766</v>
      </c>
      <c r="G78" s="7" t="s">
        <v>170</v>
      </c>
      <c r="H78" s="9" t="s">
        <v>172</v>
      </c>
      <c r="I78" s="11" t="s">
        <v>28</v>
      </c>
      <c r="J78" s="7"/>
      <c r="K78" s="5" t="s">
        <v>726</v>
      </c>
    </row>
    <row r="79" ht="15.75" customHeight="1">
      <c r="A79" s="5" t="s">
        <v>168</v>
      </c>
      <c r="B79" s="7" t="s">
        <v>770</v>
      </c>
      <c r="C79" s="5" t="s">
        <v>771</v>
      </c>
      <c r="D79" s="7" t="s">
        <v>55</v>
      </c>
      <c r="E79" s="7" t="s">
        <v>66</v>
      </c>
      <c r="F79" s="5" t="s">
        <v>773</v>
      </c>
      <c r="G79" s="7" t="s">
        <v>170</v>
      </c>
      <c r="H79" s="9" t="s">
        <v>172</v>
      </c>
      <c r="I79" s="11" t="s">
        <v>28</v>
      </c>
      <c r="J79" s="7"/>
      <c r="K79" s="5" t="s">
        <v>726</v>
      </c>
    </row>
    <row r="80" ht="15.75" customHeight="1">
      <c r="A80" s="5" t="s">
        <v>168</v>
      </c>
      <c r="B80" s="7" t="s">
        <v>779</v>
      </c>
      <c r="C80" s="5" t="s">
        <v>782</v>
      </c>
      <c r="D80" s="7" t="s">
        <v>102</v>
      </c>
      <c r="E80" s="7" t="s">
        <v>66</v>
      </c>
      <c r="F80" s="5" t="s">
        <v>784</v>
      </c>
      <c r="G80" s="7" t="s">
        <v>170</v>
      </c>
      <c r="H80" s="9" t="s">
        <v>172</v>
      </c>
      <c r="I80" s="11" t="s">
        <v>28</v>
      </c>
      <c r="J80" s="7"/>
      <c r="K80" s="5" t="s">
        <v>726</v>
      </c>
    </row>
    <row r="81" ht="15.75" customHeight="1">
      <c r="A81" s="5" t="s">
        <v>168</v>
      </c>
      <c r="B81" s="7" t="s">
        <v>789</v>
      </c>
      <c r="C81" s="5" t="s">
        <v>791</v>
      </c>
      <c r="D81" s="7" t="s">
        <v>102</v>
      </c>
      <c r="E81" s="7" t="s">
        <v>104</v>
      </c>
      <c r="F81" s="5" t="s">
        <v>794</v>
      </c>
      <c r="G81" s="7" t="s">
        <v>170</v>
      </c>
      <c r="H81" s="9" t="s">
        <v>172</v>
      </c>
      <c r="I81" s="11" t="s">
        <v>28</v>
      </c>
      <c r="J81" s="7"/>
      <c r="K81" s="5" t="s">
        <v>726</v>
      </c>
    </row>
    <row r="82" ht="15.75" customHeight="1">
      <c r="A82" s="5" t="s">
        <v>168</v>
      </c>
      <c r="B82" s="7" t="s">
        <v>801</v>
      </c>
      <c r="C82" s="5" t="s">
        <v>803</v>
      </c>
      <c r="D82" s="7" t="s">
        <v>102</v>
      </c>
      <c r="E82" s="7" t="s">
        <v>104</v>
      </c>
      <c r="F82" s="5" t="s">
        <v>806</v>
      </c>
      <c r="G82" s="7" t="s">
        <v>170</v>
      </c>
      <c r="H82" s="9" t="s">
        <v>172</v>
      </c>
      <c r="I82" s="11" t="s">
        <v>28</v>
      </c>
      <c r="J82" s="7"/>
      <c r="K82" s="5" t="s">
        <v>726</v>
      </c>
    </row>
    <row r="83" ht="15.75" customHeight="1">
      <c r="A83" s="5" t="s">
        <v>168</v>
      </c>
      <c r="B83" s="7" t="s">
        <v>811</v>
      </c>
      <c r="C83" s="5" t="s">
        <v>813</v>
      </c>
      <c r="D83" s="7" t="s">
        <v>102</v>
      </c>
      <c r="E83" s="7" t="s">
        <v>122</v>
      </c>
      <c r="F83" s="5" t="s">
        <v>814</v>
      </c>
      <c r="G83" s="7" t="s">
        <v>170</v>
      </c>
      <c r="H83" s="9" t="s">
        <v>172</v>
      </c>
      <c r="I83" s="11" t="s">
        <v>28</v>
      </c>
      <c r="J83" s="7"/>
      <c r="K83" s="5" t="s">
        <v>726</v>
      </c>
    </row>
    <row r="84" ht="15.75" customHeight="1">
      <c r="A84" s="5" t="s">
        <v>168</v>
      </c>
      <c r="B84" s="7" t="s">
        <v>818</v>
      </c>
      <c r="C84" s="5" t="s">
        <v>820</v>
      </c>
      <c r="D84" s="7" t="s">
        <v>55</v>
      </c>
      <c r="E84" s="7" t="s">
        <v>66</v>
      </c>
      <c r="F84" s="5" t="s">
        <v>823</v>
      </c>
      <c r="G84" s="7" t="s">
        <v>170</v>
      </c>
      <c r="H84" s="9" t="s">
        <v>172</v>
      </c>
      <c r="I84" s="11" t="s">
        <v>28</v>
      </c>
      <c r="J84" s="7"/>
      <c r="K84" s="5" t="s">
        <v>726</v>
      </c>
    </row>
    <row r="85" ht="15.75" customHeight="1">
      <c r="A85" s="5" t="s">
        <v>168</v>
      </c>
      <c r="B85" s="7" t="s">
        <v>832</v>
      </c>
      <c r="C85" s="5" t="s">
        <v>834</v>
      </c>
      <c r="D85" s="7" t="s">
        <v>102</v>
      </c>
      <c r="E85" s="7" t="s">
        <v>104</v>
      </c>
      <c r="F85" s="5" t="s">
        <v>837</v>
      </c>
      <c r="G85" s="7" t="s">
        <v>170</v>
      </c>
      <c r="H85" s="9" t="s">
        <v>172</v>
      </c>
      <c r="I85" s="11" t="s">
        <v>28</v>
      </c>
      <c r="J85" s="7"/>
      <c r="K85" s="5" t="s">
        <v>726</v>
      </c>
    </row>
    <row r="86" ht="15.75" customHeight="1">
      <c r="A86" s="5" t="s">
        <v>168</v>
      </c>
      <c r="B86" s="7" t="s">
        <v>843</v>
      </c>
      <c r="C86" s="5" t="s">
        <v>845</v>
      </c>
      <c r="D86" s="7" t="s">
        <v>102</v>
      </c>
      <c r="E86" s="7" t="s">
        <v>66</v>
      </c>
      <c r="F86" s="5" t="s">
        <v>846</v>
      </c>
      <c r="G86" s="7" t="s">
        <v>170</v>
      </c>
      <c r="H86" s="9" t="s">
        <v>172</v>
      </c>
      <c r="I86" s="11" t="s">
        <v>28</v>
      </c>
      <c r="J86" s="7"/>
      <c r="K86" s="5" t="s">
        <v>726</v>
      </c>
    </row>
    <row r="87" ht="15.75" customHeight="1">
      <c r="A87" s="5" t="s">
        <v>168</v>
      </c>
      <c r="B87" s="7" t="s">
        <v>854</v>
      </c>
      <c r="C87" s="5" t="s">
        <v>856</v>
      </c>
      <c r="D87" s="7" t="s">
        <v>102</v>
      </c>
      <c r="E87" s="7" t="s">
        <v>122</v>
      </c>
      <c r="F87" s="5" t="s">
        <v>858</v>
      </c>
      <c r="G87" s="7" t="s">
        <v>170</v>
      </c>
      <c r="H87" s="9" t="s">
        <v>172</v>
      </c>
      <c r="I87" s="11" t="s">
        <v>28</v>
      </c>
      <c r="J87" s="7"/>
      <c r="K87" s="5" t="s">
        <v>860</v>
      </c>
    </row>
    <row r="88" ht="15.75" customHeight="1">
      <c r="A88" s="5" t="s">
        <v>192</v>
      </c>
      <c r="B88" s="7" t="s">
        <v>861</v>
      </c>
      <c r="C88" s="5" t="s">
        <v>862</v>
      </c>
      <c r="D88" s="7" t="s">
        <v>44</v>
      </c>
      <c r="E88" s="7" t="s">
        <v>45</v>
      </c>
      <c r="F88" s="5" t="s">
        <v>45</v>
      </c>
      <c r="G88" s="7" t="s">
        <v>197</v>
      </c>
      <c r="H88" s="9" t="s">
        <v>172</v>
      </c>
      <c r="I88" s="11" t="s">
        <v>28</v>
      </c>
      <c r="J88" s="7"/>
      <c r="K88" s="5" t="s">
        <v>863</v>
      </c>
    </row>
    <row r="89" ht="15.75" customHeight="1">
      <c r="A89" s="5" t="s">
        <v>192</v>
      </c>
      <c r="B89" s="7" t="s">
        <v>864</v>
      </c>
      <c r="C89" s="5" t="s">
        <v>865</v>
      </c>
      <c r="D89" s="7" t="s">
        <v>55</v>
      </c>
      <c r="E89" s="7" t="s">
        <v>56</v>
      </c>
      <c r="F89" s="5" t="s">
        <v>866</v>
      </c>
      <c r="G89" s="7" t="s">
        <v>197</v>
      </c>
      <c r="H89" s="9" t="s">
        <v>172</v>
      </c>
      <c r="I89" s="11" t="s">
        <v>28</v>
      </c>
      <c r="J89" s="7"/>
      <c r="K89" s="5" t="s">
        <v>863</v>
      </c>
    </row>
    <row r="90" ht="15.75" customHeight="1">
      <c r="A90" s="5" t="s">
        <v>192</v>
      </c>
      <c r="B90" s="7" t="s">
        <v>868</v>
      </c>
      <c r="C90" s="5" t="s">
        <v>870</v>
      </c>
      <c r="D90" s="7" t="s">
        <v>55</v>
      </c>
      <c r="E90" s="7" t="s">
        <v>56</v>
      </c>
      <c r="F90" s="5" t="s">
        <v>872</v>
      </c>
      <c r="G90" s="7" t="s">
        <v>197</v>
      </c>
      <c r="H90" s="9" t="s">
        <v>172</v>
      </c>
      <c r="I90" s="11" t="s">
        <v>28</v>
      </c>
      <c r="J90" s="7"/>
      <c r="K90" s="5" t="s">
        <v>863</v>
      </c>
    </row>
    <row r="91" ht="15.75" customHeight="1">
      <c r="A91" s="5" t="s">
        <v>192</v>
      </c>
      <c r="B91" s="7" t="s">
        <v>875</v>
      </c>
      <c r="C91" s="5" t="s">
        <v>876</v>
      </c>
      <c r="D91" s="7" t="s">
        <v>55</v>
      </c>
      <c r="E91" s="7" t="s">
        <v>56</v>
      </c>
      <c r="F91" s="5" t="s">
        <v>877</v>
      </c>
      <c r="G91" s="7" t="s">
        <v>197</v>
      </c>
      <c r="H91" s="9" t="s">
        <v>172</v>
      </c>
      <c r="I91" s="11" t="s">
        <v>28</v>
      </c>
      <c r="J91" s="7"/>
      <c r="K91" s="5" t="s">
        <v>863</v>
      </c>
    </row>
    <row r="92" ht="15.75" customHeight="1">
      <c r="A92" s="5" t="s">
        <v>192</v>
      </c>
      <c r="B92" s="7" t="s">
        <v>878</v>
      </c>
      <c r="C92" s="5" t="s">
        <v>879</v>
      </c>
      <c r="D92" s="7" t="s">
        <v>55</v>
      </c>
      <c r="E92" s="7" t="s">
        <v>66</v>
      </c>
      <c r="F92" s="5" t="s">
        <v>880</v>
      </c>
      <c r="G92" s="7" t="s">
        <v>197</v>
      </c>
      <c r="H92" s="9" t="s">
        <v>172</v>
      </c>
      <c r="I92" s="11" t="s">
        <v>28</v>
      </c>
      <c r="J92" s="7"/>
      <c r="K92" s="5" t="s">
        <v>863</v>
      </c>
    </row>
    <row r="93" ht="15.75" customHeight="1">
      <c r="A93" s="5" t="s">
        <v>192</v>
      </c>
      <c r="B93" s="7" t="s">
        <v>884</v>
      </c>
      <c r="C93" s="5" t="s">
        <v>886</v>
      </c>
      <c r="D93" s="7" t="s">
        <v>55</v>
      </c>
      <c r="E93" s="7" t="s">
        <v>66</v>
      </c>
      <c r="F93" s="5" t="s">
        <v>887</v>
      </c>
      <c r="G93" s="7" t="s">
        <v>197</v>
      </c>
      <c r="H93" s="9" t="s">
        <v>172</v>
      </c>
      <c r="I93" s="11" t="s">
        <v>28</v>
      </c>
      <c r="J93" s="7"/>
      <c r="K93" s="5" t="s">
        <v>863</v>
      </c>
    </row>
    <row r="94" ht="15.75" customHeight="1">
      <c r="A94" s="5" t="s">
        <v>192</v>
      </c>
      <c r="B94" s="7" t="s">
        <v>888</v>
      </c>
      <c r="C94" s="5" t="s">
        <v>889</v>
      </c>
      <c r="D94" s="7" t="s">
        <v>44</v>
      </c>
      <c r="E94" s="7" t="s">
        <v>45</v>
      </c>
      <c r="F94" s="5" t="s">
        <v>890</v>
      </c>
      <c r="G94" s="7" t="s">
        <v>197</v>
      </c>
      <c r="H94" s="9" t="s">
        <v>172</v>
      </c>
      <c r="I94" s="11" t="s">
        <v>28</v>
      </c>
      <c r="J94" s="7"/>
      <c r="K94" s="5" t="s">
        <v>863</v>
      </c>
    </row>
    <row r="95" ht="15.75" customHeight="1">
      <c r="A95" s="5" t="s">
        <v>192</v>
      </c>
      <c r="B95" s="7" t="s">
        <v>891</v>
      </c>
      <c r="C95" s="5" t="s">
        <v>892</v>
      </c>
      <c r="D95" s="7" t="s">
        <v>55</v>
      </c>
      <c r="E95" s="7" t="s">
        <v>56</v>
      </c>
      <c r="F95" s="5" t="s">
        <v>893</v>
      </c>
      <c r="G95" s="7" t="s">
        <v>197</v>
      </c>
      <c r="H95" s="9" t="s">
        <v>172</v>
      </c>
      <c r="I95" s="11" t="s">
        <v>28</v>
      </c>
      <c r="J95" s="7"/>
      <c r="K95" s="5" t="s">
        <v>863</v>
      </c>
    </row>
    <row r="96" ht="15.75" customHeight="1">
      <c r="A96" s="5" t="s">
        <v>192</v>
      </c>
      <c r="B96" s="7" t="s">
        <v>894</v>
      </c>
      <c r="C96" s="5" t="s">
        <v>895</v>
      </c>
      <c r="D96" s="7" t="s">
        <v>55</v>
      </c>
      <c r="E96" s="7" t="s">
        <v>66</v>
      </c>
      <c r="F96" s="5" t="s">
        <v>898</v>
      </c>
      <c r="G96" s="7" t="s">
        <v>197</v>
      </c>
      <c r="H96" s="9" t="s">
        <v>172</v>
      </c>
      <c r="I96" s="11" t="s">
        <v>28</v>
      </c>
      <c r="J96" s="7"/>
      <c r="K96" s="5" t="s">
        <v>863</v>
      </c>
    </row>
    <row r="97" ht="15.75" customHeight="1">
      <c r="A97" s="5" t="s">
        <v>192</v>
      </c>
      <c r="B97" s="7" t="s">
        <v>901</v>
      </c>
      <c r="C97" s="5" t="s">
        <v>902</v>
      </c>
      <c r="D97" s="7" t="s">
        <v>102</v>
      </c>
      <c r="E97" s="7" t="s">
        <v>66</v>
      </c>
      <c r="F97" s="5" t="s">
        <v>903</v>
      </c>
      <c r="G97" s="7" t="s">
        <v>197</v>
      </c>
      <c r="H97" s="9" t="s">
        <v>172</v>
      </c>
      <c r="I97" s="11" t="s">
        <v>28</v>
      </c>
      <c r="J97" s="7"/>
      <c r="K97" s="5" t="s">
        <v>863</v>
      </c>
    </row>
    <row r="98" ht="15.75" customHeight="1">
      <c r="A98" s="5" t="s">
        <v>192</v>
      </c>
      <c r="B98" s="7" t="s">
        <v>904</v>
      </c>
      <c r="C98" s="5" t="s">
        <v>905</v>
      </c>
      <c r="D98" s="7" t="s">
        <v>102</v>
      </c>
      <c r="E98" s="7" t="s">
        <v>104</v>
      </c>
      <c r="F98" s="5" t="s">
        <v>906</v>
      </c>
      <c r="G98" s="7" t="s">
        <v>197</v>
      </c>
      <c r="H98" s="9" t="s">
        <v>172</v>
      </c>
      <c r="I98" s="11" t="s">
        <v>28</v>
      </c>
      <c r="J98" s="7"/>
      <c r="K98" s="5" t="s">
        <v>863</v>
      </c>
    </row>
    <row r="99" ht="15.75" customHeight="1">
      <c r="A99" s="5" t="s">
        <v>192</v>
      </c>
      <c r="B99" s="7" t="s">
        <v>907</v>
      </c>
      <c r="C99" s="5" t="s">
        <v>908</v>
      </c>
      <c r="D99" s="7" t="s">
        <v>55</v>
      </c>
      <c r="E99" s="7" t="s">
        <v>56</v>
      </c>
      <c r="F99" s="5" t="s">
        <v>909</v>
      </c>
      <c r="G99" s="7" t="s">
        <v>197</v>
      </c>
      <c r="H99" s="9" t="s">
        <v>172</v>
      </c>
      <c r="I99" s="11" t="s">
        <v>28</v>
      </c>
      <c r="J99" s="7"/>
      <c r="K99" s="5" t="s">
        <v>863</v>
      </c>
    </row>
    <row r="100" ht="15.75" customHeight="1">
      <c r="A100" s="5" t="s">
        <v>192</v>
      </c>
      <c r="B100" s="7" t="s">
        <v>412</v>
      </c>
      <c r="C100" s="5" t="s">
        <v>413</v>
      </c>
      <c r="D100" s="7" t="s">
        <v>55</v>
      </c>
      <c r="E100" s="7" t="s">
        <v>66</v>
      </c>
      <c r="F100" s="5" t="s">
        <v>415</v>
      </c>
      <c r="G100" s="7" t="s">
        <v>197</v>
      </c>
      <c r="H100" s="9" t="s">
        <v>172</v>
      </c>
      <c r="I100" s="11" t="s">
        <v>28</v>
      </c>
      <c r="J100" s="12" t="s">
        <v>69</v>
      </c>
      <c r="K100" s="5" t="s">
        <v>863</v>
      </c>
    </row>
    <row r="101" ht="15.75" customHeight="1">
      <c r="A101" s="5" t="s">
        <v>203</v>
      </c>
      <c r="B101" s="7" t="s">
        <v>915</v>
      </c>
      <c r="C101" s="5" t="s">
        <v>916</v>
      </c>
      <c r="D101" s="7" t="s">
        <v>44</v>
      </c>
      <c r="E101" s="7" t="s">
        <v>45</v>
      </c>
      <c r="F101" s="5" t="s">
        <v>45</v>
      </c>
      <c r="G101" s="7" t="s">
        <v>207</v>
      </c>
      <c r="H101" s="9" t="s">
        <v>208</v>
      </c>
      <c r="I101" s="11" t="s">
        <v>28</v>
      </c>
      <c r="J101" s="7"/>
      <c r="K101" s="5" t="s">
        <v>922</v>
      </c>
    </row>
    <row r="102" ht="15.75" customHeight="1">
      <c r="A102" s="5" t="s">
        <v>203</v>
      </c>
      <c r="B102" s="7" t="s">
        <v>923</v>
      </c>
      <c r="C102" s="5" t="s">
        <v>924</v>
      </c>
      <c r="D102" s="7" t="s">
        <v>55</v>
      </c>
      <c r="E102" s="7" t="s">
        <v>66</v>
      </c>
      <c r="F102" s="5" t="s">
        <v>925</v>
      </c>
      <c r="G102" s="7" t="s">
        <v>284</v>
      </c>
      <c r="H102" s="9" t="s">
        <v>208</v>
      </c>
      <c r="I102" s="11" t="s">
        <v>28</v>
      </c>
      <c r="J102" s="7"/>
      <c r="K102" s="5" t="s">
        <v>931</v>
      </c>
    </row>
    <row r="103" ht="15.75" customHeight="1">
      <c r="A103" s="5" t="s">
        <v>203</v>
      </c>
      <c r="B103" s="7" t="s">
        <v>932</v>
      </c>
      <c r="C103" s="5" t="s">
        <v>933</v>
      </c>
      <c r="D103" s="7" t="s">
        <v>55</v>
      </c>
      <c r="E103" s="7" t="s">
        <v>66</v>
      </c>
      <c r="F103" s="5" t="s">
        <v>934</v>
      </c>
      <c r="G103" s="7" t="s">
        <v>207</v>
      </c>
      <c r="H103" s="9" t="s">
        <v>208</v>
      </c>
      <c r="I103" s="11" t="s">
        <v>28</v>
      </c>
      <c r="J103" s="7"/>
      <c r="K103" s="5" t="s">
        <v>922</v>
      </c>
    </row>
    <row r="104" ht="15.75" customHeight="1">
      <c r="A104" s="5" t="s">
        <v>203</v>
      </c>
      <c r="B104" s="7" t="s">
        <v>419</v>
      </c>
      <c r="C104" s="5" t="s">
        <v>420</v>
      </c>
      <c r="D104" s="7" t="s">
        <v>102</v>
      </c>
      <c r="E104" s="7" t="s">
        <v>104</v>
      </c>
      <c r="F104" s="5" t="s">
        <v>421</v>
      </c>
      <c r="G104" s="7" t="s">
        <v>207</v>
      </c>
      <c r="H104" s="9" t="s">
        <v>208</v>
      </c>
      <c r="I104" s="11" t="s">
        <v>28</v>
      </c>
      <c r="J104" s="12" t="s">
        <v>69</v>
      </c>
      <c r="K104" s="5" t="s">
        <v>922</v>
      </c>
    </row>
    <row r="105" ht="15.75" customHeight="1">
      <c r="A105" s="5" t="s">
        <v>203</v>
      </c>
      <c r="B105" s="7" t="s">
        <v>940</v>
      </c>
      <c r="C105" s="5" t="s">
        <v>633</v>
      </c>
      <c r="D105" s="7" t="s">
        <v>102</v>
      </c>
      <c r="E105" s="7" t="s">
        <v>66</v>
      </c>
      <c r="F105" s="5" t="s">
        <v>941</v>
      </c>
      <c r="G105" s="7" t="s">
        <v>195</v>
      </c>
      <c r="H105" s="9" t="s">
        <v>198</v>
      </c>
      <c r="I105" s="11" t="s">
        <v>28</v>
      </c>
      <c r="J105" s="7"/>
      <c r="K105" s="5" t="s">
        <v>946</v>
      </c>
    </row>
    <row r="106" ht="15.75" customHeight="1">
      <c r="A106" s="5" t="s">
        <v>203</v>
      </c>
      <c r="B106" s="7" t="s">
        <v>947</v>
      </c>
      <c r="C106" s="5" t="s">
        <v>948</v>
      </c>
      <c r="D106" s="7" t="s">
        <v>102</v>
      </c>
      <c r="E106" s="7" t="s">
        <v>104</v>
      </c>
      <c r="F106" s="5" t="s">
        <v>951</v>
      </c>
      <c r="G106" s="7" t="s">
        <v>207</v>
      </c>
      <c r="H106" s="9" t="s">
        <v>208</v>
      </c>
      <c r="I106" s="11" t="s">
        <v>28</v>
      </c>
      <c r="J106" s="7"/>
      <c r="K106" s="5" t="s">
        <v>922</v>
      </c>
    </row>
    <row r="107" ht="15.75" customHeight="1">
      <c r="A107" s="5" t="s">
        <v>203</v>
      </c>
      <c r="B107" s="7" t="s">
        <v>952</v>
      </c>
      <c r="C107" s="5" t="s">
        <v>953</v>
      </c>
      <c r="D107" s="7" t="s">
        <v>55</v>
      </c>
      <c r="E107" s="7" t="s">
        <v>104</v>
      </c>
      <c r="F107" s="5" t="s">
        <v>954</v>
      </c>
      <c r="G107" s="7" t="s">
        <v>955</v>
      </c>
      <c r="H107" s="9" t="s">
        <v>208</v>
      </c>
      <c r="I107" s="11" t="s">
        <v>28</v>
      </c>
      <c r="J107" s="7"/>
      <c r="K107" s="5" t="s">
        <v>956</v>
      </c>
    </row>
    <row r="108" ht="15.75" customHeight="1">
      <c r="A108" s="5" t="s">
        <v>203</v>
      </c>
      <c r="B108" s="7" t="s">
        <v>425</v>
      </c>
      <c r="C108" s="5" t="s">
        <v>426</v>
      </c>
      <c r="D108" s="7" t="s">
        <v>102</v>
      </c>
      <c r="E108" s="7" t="s">
        <v>104</v>
      </c>
      <c r="F108" s="5" t="s">
        <v>428</v>
      </c>
      <c r="G108" s="7" t="s">
        <v>207</v>
      </c>
      <c r="H108" s="9" t="s">
        <v>208</v>
      </c>
      <c r="I108" s="11" t="s">
        <v>28</v>
      </c>
      <c r="J108" s="12" t="s">
        <v>69</v>
      </c>
      <c r="K108" s="5" t="s">
        <v>922</v>
      </c>
    </row>
    <row r="109" ht="15.75" customHeight="1">
      <c r="A109" s="5" t="s">
        <v>203</v>
      </c>
      <c r="B109" s="7" t="s">
        <v>957</v>
      </c>
      <c r="C109" s="5" t="s">
        <v>958</v>
      </c>
      <c r="D109" s="7" t="s">
        <v>55</v>
      </c>
      <c r="E109" s="7" t="s">
        <v>104</v>
      </c>
      <c r="F109" s="5" t="s">
        <v>959</v>
      </c>
      <c r="G109" s="7" t="s">
        <v>207</v>
      </c>
      <c r="H109" s="9" t="s">
        <v>208</v>
      </c>
      <c r="I109" s="11" t="s">
        <v>28</v>
      </c>
      <c r="J109" s="7"/>
      <c r="K109" s="5" t="s">
        <v>922</v>
      </c>
    </row>
    <row r="110" ht="15.75" customHeight="1">
      <c r="A110" s="5" t="s">
        <v>203</v>
      </c>
      <c r="B110" s="7" t="s">
        <v>960</v>
      </c>
      <c r="C110" s="5" t="s">
        <v>961</v>
      </c>
      <c r="D110" s="7" t="s">
        <v>102</v>
      </c>
      <c r="E110" s="7" t="s">
        <v>104</v>
      </c>
      <c r="F110" s="5" t="s">
        <v>962</v>
      </c>
      <c r="G110" s="7" t="s">
        <v>207</v>
      </c>
      <c r="H110" s="9" t="s">
        <v>208</v>
      </c>
      <c r="I110" s="11" t="s">
        <v>28</v>
      </c>
      <c r="J110" s="7"/>
      <c r="K110" s="5" t="s">
        <v>922</v>
      </c>
    </row>
    <row r="111" ht="15.75" customHeight="1">
      <c r="A111" s="5" t="s">
        <v>203</v>
      </c>
      <c r="B111" s="7" t="s">
        <v>963</v>
      </c>
      <c r="C111" s="5" t="s">
        <v>964</v>
      </c>
      <c r="D111" s="7" t="s">
        <v>102</v>
      </c>
      <c r="E111" s="7" t="s">
        <v>104</v>
      </c>
      <c r="F111" s="5" t="s">
        <v>965</v>
      </c>
      <c r="G111" s="7" t="s">
        <v>207</v>
      </c>
      <c r="H111" s="9" t="s">
        <v>208</v>
      </c>
      <c r="I111" s="11" t="s">
        <v>28</v>
      </c>
      <c r="J111" s="7"/>
      <c r="K111" s="5" t="s">
        <v>922</v>
      </c>
    </row>
    <row r="112" ht="15.75" customHeight="1">
      <c r="A112" s="5" t="s">
        <v>203</v>
      </c>
      <c r="B112" s="7" t="s">
        <v>966</v>
      </c>
      <c r="C112" s="5" t="s">
        <v>967</v>
      </c>
      <c r="D112" s="7" t="s">
        <v>102</v>
      </c>
      <c r="E112" s="7" t="s">
        <v>122</v>
      </c>
      <c r="F112" s="5" t="s">
        <v>968</v>
      </c>
      <c r="G112" s="7" t="s">
        <v>207</v>
      </c>
      <c r="H112" s="9" t="s">
        <v>208</v>
      </c>
      <c r="I112" s="11" t="s">
        <v>28</v>
      </c>
      <c r="J112" s="7"/>
      <c r="K112" s="5" t="s">
        <v>922</v>
      </c>
    </row>
    <row r="113" ht="15.75" customHeight="1">
      <c r="A113" s="5" t="s">
        <v>203</v>
      </c>
      <c r="B113" s="7" t="s">
        <v>969</v>
      </c>
      <c r="C113" s="5" t="s">
        <v>970</v>
      </c>
      <c r="D113" s="7" t="s">
        <v>55</v>
      </c>
      <c r="E113" s="7" t="s">
        <v>66</v>
      </c>
      <c r="F113" s="5" t="s">
        <v>971</v>
      </c>
      <c r="G113" s="7" t="s">
        <v>207</v>
      </c>
      <c r="H113" s="9" t="s">
        <v>208</v>
      </c>
      <c r="I113" s="11" t="s">
        <v>28</v>
      </c>
      <c r="J113" s="7"/>
      <c r="K113" s="5" t="s">
        <v>922</v>
      </c>
    </row>
    <row r="114" ht="15.75" customHeight="1">
      <c r="A114" s="5" t="s">
        <v>241</v>
      </c>
      <c r="B114" s="7" t="s">
        <v>972</v>
      </c>
      <c r="C114" s="5" t="s">
        <v>973</v>
      </c>
      <c r="D114" s="7" t="s">
        <v>44</v>
      </c>
      <c r="E114" s="7" t="s">
        <v>45</v>
      </c>
      <c r="F114" s="5" t="s">
        <v>45</v>
      </c>
      <c r="G114" s="7" t="s">
        <v>243</v>
      </c>
      <c r="H114" s="9" t="s">
        <v>246</v>
      </c>
      <c r="I114" s="11" t="s">
        <v>28</v>
      </c>
      <c r="J114" s="7"/>
      <c r="K114" s="5" t="s">
        <v>974</v>
      </c>
    </row>
    <row r="115" ht="15.75" customHeight="1">
      <c r="A115" s="5" t="s">
        <v>241</v>
      </c>
      <c r="B115" s="7" t="s">
        <v>975</v>
      </c>
      <c r="C115" s="5" t="s">
        <v>976</v>
      </c>
      <c r="D115" s="7" t="s">
        <v>102</v>
      </c>
      <c r="E115" s="7" t="s">
        <v>104</v>
      </c>
      <c r="F115" s="5" t="s">
        <v>977</v>
      </c>
      <c r="G115" s="7" t="s">
        <v>309</v>
      </c>
      <c r="H115" s="9" t="s">
        <v>246</v>
      </c>
      <c r="I115" s="11" t="s">
        <v>28</v>
      </c>
      <c r="J115" s="7"/>
      <c r="K115" s="5" t="s">
        <v>978</v>
      </c>
    </row>
    <row r="116" ht="15.75" customHeight="1">
      <c r="A116" s="5" t="s">
        <v>241</v>
      </c>
      <c r="B116" s="7" t="s">
        <v>979</v>
      </c>
      <c r="C116" s="5" t="s">
        <v>980</v>
      </c>
      <c r="D116" s="7" t="s">
        <v>102</v>
      </c>
      <c r="E116" s="7" t="s">
        <v>104</v>
      </c>
      <c r="F116" s="5" t="s">
        <v>981</v>
      </c>
      <c r="G116" s="7" t="s">
        <v>243</v>
      </c>
      <c r="H116" s="9" t="s">
        <v>246</v>
      </c>
      <c r="I116" s="11" t="s">
        <v>28</v>
      </c>
      <c r="J116" s="7"/>
      <c r="K116" s="5" t="s">
        <v>974</v>
      </c>
    </row>
    <row r="117" ht="15.75" customHeight="1">
      <c r="A117" s="5" t="s">
        <v>241</v>
      </c>
      <c r="B117" s="7" t="s">
        <v>430</v>
      </c>
      <c r="C117" s="5" t="s">
        <v>431</v>
      </c>
      <c r="D117" s="7" t="s">
        <v>102</v>
      </c>
      <c r="E117" s="7" t="s">
        <v>122</v>
      </c>
      <c r="F117" s="5" t="s">
        <v>432</v>
      </c>
      <c r="G117" s="7" t="s">
        <v>243</v>
      </c>
      <c r="H117" s="9" t="s">
        <v>246</v>
      </c>
      <c r="I117" s="11" t="s">
        <v>28</v>
      </c>
      <c r="J117" s="12" t="s">
        <v>69</v>
      </c>
      <c r="K117" s="5" t="s">
        <v>974</v>
      </c>
    </row>
    <row r="118" ht="15.75" customHeight="1">
      <c r="A118" s="5" t="s">
        <v>241</v>
      </c>
      <c r="B118" s="7" t="s">
        <v>982</v>
      </c>
      <c r="C118" s="5" t="s">
        <v>983</v>
      </c>
      <c r="D118" s="7" t="s">
        <v>102</v>
      </c>
      <c r="E118" s="7" t="s">
        <v>104</v>
      </c>
      <c r="F118" s="5" t="s">
        <v>984</v>
      </c>
      <c r="G118" s="7" t="s">
        <v>985</v>
      </c>
      <c r="H118" s="9" t="s">
        <v>246</v>
      </c>
      <c r="I118" s="11" t="s">
        <v>28</v>
      </c>
      <c r="J118" s="7"/>
      <c r="K118" s="5" t="s">
        <v>986</v>
      </c>
    </row>
    <row r="119" ht="15.75" customHeight="1">
      <c r="A119" s="5" t="s">
        <v>241</v>
      </c>
      <c r="B119" s="7" t="s">
        <v>987</v>
      </c>
      <c r="C119" s="5" t="s">
        <v>988</v>
      </c>
      <c r="D119" s="7" t="s">
        <v>102</v>
      </c>
      <c r="E119" s="7" t="s">
        <v>122</v>
      </c>
      <c r="F119" s="5" t="s">
        <v>989</v>
      </c>
      <c r="G119" s="7" t="s">
        <v>243</v>
      </c>
      <c r="H119" s="9" t="s">
        <v>246</v>
      </c>
      <c r="I119" s="11" t="s">
        <v>28</v>
      </c>
      <c r="J119" s="7"/>
      <c r="K119" s="5" t="s">
        <v>974</v>
      </c>
    </row>
    <row r="120" ht="15.75" customHeight="1">
      <c r="A120" s="5" t="s">
        <v>241</v>
      </c>
      <c r="B120" s="7" t="s">
        <v>990</v>
      </c>
      <c r="C120" s="5" t="s">
        <v>991</v>
      </c>
      <c r="D120" s="7" t="s">
        <v>102</v>
      </c>
      <c r="E120" s="7" t="s">
        <v>104</v>
      </c>
      <c r="F120" s="5" t="s">
        <v>992</v>
      </c>
      <c r="G120" s="7" t="s">
        <v>243</v>
      </c>
      <c r="H120" s="9" t="s">
        <v>246</v>
      </c>
      <c r="I120" s="11" t="s">
        <v>28</v>
      </c>
      <c r="J120" s="7"/>
      <c r="K120" s="5" t="s">
        <v>974</v>
      </c>
    </row>
    <row r="121" ht="15.75" customHeight="1">
      <c r="A121" s="5" t="s">
        <v>241</v>
      </c>
      <c r="B121" s="7" t="s">
        <v>993</v>
      </c>
      <c r="C121" s="5" t="s">
        <v>633</v>
      </c>
      <c r="D121" s="7" t="s">
        <v>102</v>
      </c>
      <c r="E121" s="7" t="s">
        <v>104</v>
      </c>
      <c r="F121" s="5" t="s">
        <v>994</v>
      </c>
      <c r="G121" s="7" t="s">
        <v>243</v>
      </c>
      <c r="H121" s="9" t="s">
        <v>246</v>
      </c>
      <c r="I121" s="11" t="s">
        <v>28</v>
      </c>
      <c r="J121" s="7"/>
      <c r="K121" s="5" t="s">
        <v>974</v>
      </c>
    </row>
    <row r="122" ht="15.75" customHeight="1">
      <c r="A122" s="5" t="s">
        <v>241</v>
      </c>
      <c r="B122" s="7" t="s">
        <v>995</v>
      </c>
      <c r="C122" s="5" t="s">
        <v>996</v>
      </c>
      <c r="D122" s="7" t="s">
        <v>102</v>
      </c>
      <c r="E122" s="7" t="s">
        <v>122</v>
      </c>
      <c r="F122" s="5" t="s">
        <v>997</v>
      </c>
      <c r="G122" s="7" t="s">
        <v>243</v>
      </c>
      <c r="H122" s="9" t="s">
        <v>246</v>
      </c>
      <c r="I122" s="11" t="s">
        <v>28</v>
      </c>
      <c r="J122" s="7"/>
      <c r="K122" s="5" t="s">
        <v>974</v>
      </c>
    </row>
    <row r="123" ht="15.75" customHeight="1">
      <c r="A123" s="5" t="s">
        <v>241</v>
      </c>
      <c r="B123" s="7" t="s">
        <v>998</v>
      </c>
      <c r="C123" s="5" t="s">
        <v>999</v>
      </c>
      <c r="D123" s="7" t="s">
        <v>55</v>
      </c>
      <c r="E123" s="7" t="s">
        <v>104</v>
      </c>
      <c r="F123" s="5" t="s">
        <v>1000</v>
      </c>
      <c r="G123" s="7" t="s">
        <v>243</v>
      </c>
      <c r="H123" s="9" t="s">
        <v>246</v>
      </c>
      <c r="I123" s="11" t="s">
        <v>28</v>
      </c>
      <c r="J123" s="7"/>
      <c r="K123" s="5" t="s">
        <v>974</v>
      </c>
    </row>
    <row r="124" ht="15.75" customHeight="1">
      <c r="A124" s="5" t="s">
        <v>241</v>
      </c>
      <c r="B124" s="7" t="s">
        <v>1001</v>
      </c>
      <c r="C124" s="5" t="s">
        <v>1002</v>
      </c>
      <c r="D124" s="7" t="s">
        <v>102</v>
      </c>
      <c r="E124" s="7" t="s">
        <v>122</v>
      </c>
      <c r="F124" s="5" t="s">
        <v>1003</v>
      </c>
      <c r="G124" s="7" t="s">
        <v>243</v>
      </c>
      <c r="H124" s="9" t="s">
        <v>246</v>
      </c>
      <c r="I124" s="11" t="s">
        <v>28</v>
      </c>
      <c r="J124" s="7"/>
      <c r="K124" s="5" t="s">
        <v>974</v>
      </c>
    </row>
    <row r="125" ht="15.75" customHeight="1">
      <c r="A125" s="5" t="s">
        <v>241</v>
      </c>
      <c r="B125" s="7" t="s">
        <v>1004</v>
      </c>
      <c r="C125" s="5" t="s">
        <v>1005</v>
      </c>
      <c r="D125" s="7" t="s">
        <v>1006</v>
      </c>
      <c r="E125" s="7" t="s">
        <v>45</v>
      </c>
      <c r="F125" s="5" t="s">
        <v>1007</v>
      </c>
      <c r="G125" s="7" t="s">
        <v>243</v>
      </c>
      <c r="H125" s="9" t="s">
        <v>246</v>
      </c>
      <c r="I125" s="11" t="s">
        <v>28</v>
      </c>
      <c r="J125" s="7"/>
      <c r="K125" s="5" t="s">
        <v>974</v>
      </c>
    </row>
    <row r="126" ht="15.75" customHeight="1">
      <c r="A126" s="5" t="s">
        <v>262</v>
      </c>
      <c r="B126" s="7" t="s">
        <v>1008</v>
      </c>
      <c r="C126" s="5" t="s">
        <v>1009</v>
      </c>
      <c r="D126" s="7" t="s">
        <v>44</v>
      </c>
      <c r="E126" s="7" t="s">
        <v>45</v>
      </c>
      <c r="F126" s="5" t="s">
        <v>45</v>
      </c>
      <c r="G126" s="7" t="s">
        <v>266</v>
      </c>
      <c r="H126" s="9" t="s">
        <v>249</v>
      </c>
      <c r="I126" s="11" t="s">
        <v>28</v>
      </c>
      <c r="J126" s="7"/>
      <c r="K126" s="5" t="s">
        <v>1010</v>
      </c>
    </row>
    <row r="127" ht="15.75" customHeight="1">
      <c r="A127" s="5" t="inlineStr">
        <is>
          <t xml:space="preserve">C-2.3</t>
        </is>
      </c>
      <c r="B127" s="7" t="inlineStr">
        <is>
          <t xml:space="preserve">C-2.3-b</t>
        </is>
      </c>
      <c r="C127" s="5" t="inlineStr">
        <is>
          <t xml:space="preserve">No h1 in RAW or RENDERED on a page that passed the A0 validity gate</t>
        </is>
      </c>
      <c r="D127" s="7" t="inlineStr">
        <is>
          <t xml:space="preserve">WARN</t>
        </is>
      </c>
      <c r="E127" s="7" t="inlineStr">
        <is>
          <t xml:space="preserve">MEDIUM</t>
        </is>
      </c>
      <c r="F127" s="5" t="inlineStr">
        <is>
          <t xml:space="preserve">H1_MISSING</t>
        </is>
      </c>
      <c r="G127" s="7" t="inlineStr">
        <is>
          <t xml:space="preserve">G18, A4</t>
        </is>
      </c>
      <c r="H127" s="9" t="inlineStr">
        <is>
          <t xml:space="preserve">https://developers.google.com/search/docs/essentials/technical</t>
        </is>
      </c>
      <c r="I127" s="11" t="inlineStr">
        <is>
          <t xml:space="preserve">Google — documented</t>
        </is>
      </c>
      <c r="J127" s="12" t="inlineStr">
        <is>
          <t xml:space="preserve">Tool policy</t>
        </is>
      </c>
      <c r="K127" s="5" t="inlineStr">
        <is>
          <t xml:space="preserve">Downgraded from FAIL. Google documents headings as helping it understand page structure; it does not require an h1, and a page without one is still crawled, indexed and ranked. A missing h1 is a clarity problem worth fixing, not a defect. The grading is tool policy.</t>
        </is>
      </c>
    </row>
    <row r="128" ht="15.75" customHeight="1">
      <c r="A128" s="5" t="s">
        <v>262</v>
      </c>
      <c r="B128" s="7" t="s">
        <v>1014</v>
      </c>
      <c r="C128" s="5" t="s">
        <v>1015</v>
      </c>
      <c r="D128" s="7" t="s">
        <v>55</v>
      </c>
      <c r="E128" s="7" t="s">
        <v>104</v>
      </c>
      <c r="F128" s="5" t="s">
        <v>1016</v>
      </c>
      <c r="G128" s="7" t="s">
        <v>266</v>
      </c>
      <c r="H128" s="9" t="s">
        <v>249</v>
      </c>
      <c r="I128" s="11" t="s">
        <v>28</v>
      </c>
      <c r="J128" s="7"/>
      <c r="K128" s="5" t="s">
        <v>1010</v>
      </c>
    </row>
    <row r="129" ht="15.75" customHeight="1">
      <c r="A129" s="5" t="s">
        <v>262</v>
      </c>
      <c r="B129" s="7" t="s">
        <v>434</v>
      </c>
      <c r="C129" s="5" t="s">
        <v>435</v>
      </c>
      <c r="D129" s="7" t="s">
        <v>102</v>
      </c>
      <c r="E129" s="7" t="s">
        <v>122</v>
      </c>
      <c r="F129" s="5" t="s">
        <v>436</v>
      </c>
      <c r="G129" s="7" t="s">
        <v>266</v>
      </c>
      <c r="H129" s="9" t="s">
        <v>249</v>
      </c>
      <c r="I129" s="11" t="s">
        <v>28</v>
      </c>
      <c r="J129" s="12" t="s">
        <v>69</v>
      </c>
      <c r="K129" s="5" t="s">
        <v>1010</v>
      </c>
    </row>
    <row r="130" ht="15.75" customHeight="1">
      <c r="A130" s="5" t="s">
        <v>262</v>
      </c>
      <c r="B130" s="7" t="s">
        <v>1017</v>
      </c>
      <c r="C130" s="5" t="s">
        <v>1018</v>
      </c>
      <c r="D130" s="7" t="s">
        <v>102</v>
      </c>
      <c r="E130" s="7" t="s">
        <v>104</v>
      </c>
      <c r="F130" s="5" t="s">
        <v>1019</v>
      </c>
      <c r="G130" s="7" t="s">
        <v>266</v>
      </c>
      <c r="H130" s="9" t="s">
        <v>249</v>
      </c>
      <c r="I130" s="11" t="s">
        <v>28</v>
      </c>
      <c r="J130" s="7"/>
      <c r="K130" s="5" t="s">
        <v>1010</v>
      </c>
    </row>
    <row r="131" ht="15.75" customHeight="1">
      <c r="A131" s="5" t="s">
        <v>262</v>
      </c>
      <c r="B131" s="7" t="s">
        <v>1020</v>
      </c>
      <c r="C131" s="5" t="s">
        <v>1021</v>
      </c>
      <c r="D131" s="7" t="s">
        <v>102</v>
      </c>
      <c r="E131" s="7" t="s">
        <v>66</v>
      </c>
      <c r="F131" s="5" t="s">
        <v>1022</v>
      </c>
      <c r="G131" s="7" t="s">
        <v>266</v>
      </c>
      <c r="H131" s="9" t="s">
        <v>249</v>
      </c>
      <c r="I131" s="11" t="s">
        <v>28</v>
      </c>
      <c r="J131" s="7"/>
      <c r="K131" s="5" t="s">
        <v>1010</v>
      </c>
    </row>
    <row r="132" ht="15.75" customHeight="1">
      <c r="A132" s="5" t="s">
        <v>262</v>
      </c>
      <c r="B132" s="7" t="s">
        <v>1023</v>
      </c>
      <c r="C132" s="5" t="s">
        <v>1024</v>
      </c>
      <c r="D132" s="7" t="s">
        <v>102</v>
      </c>
      <c r="E132" s="7" t="s">
        <v>104</v>
      </c>
      <c r="F132" s="5" t="s">
        <v>1025</v>
      </c>
      <c r="G132" s="7" t="s">
        <v>266</v>
      </c>
      <c r="H132" s="9" t="s">
        <v>249</v>
      </c>
      <c r="I132" s="11" t="s">
        <v>28</v>
      </c>
      <c r="J132" s="7"/>
      <c r="K132" s="5" t="s">
        <v>1010</v>
      </c>
    </row>
    <row r="133" ht="15.75" customHeight="1">
      <c r="A133" s="5" t="s">
        <v>262</v>
      </c>
      <c r="B133" s="7" t="s">
        <v>1026</v>
      </c>
      <c r="C133" s="5" t="s">
        <v>1027</v>
      </c>
      <c r="D133" s="7" t="s">
        <v>102</v>
      </c>
      <c r="E133" s="7" t="s">
        <v>104</v>
      </c>
      <c r="F133" s="5" t="s">
        <v>1028</v>
      </c>
      <c r="G133" s="7" t="s">
        <v>266</v>
      </c>
      <c r="H133" s="9" t="s">
        <v>249</v>
      </c>
      <c r="I133" s="11" t="s">
        <v>28</v>
      </c>
      <c r="J133" s="7"/>
      <c r="K133" s="5" t="s">
        <v>1010</v>
      </c>
    </row>
    <row r="134" ht="15.75" customHeight="1">
      <c r="A134" s="5" t="s">
        <v>262</v>
      </c>
      <c r="B134" s="7" t="s">
        <v>438</v>
      </c>
      <c r="C134" s="5" t="s">
        <v>439</v>
      </c>
      <c r="D134" s="7" t="s">
        <v>102</v>
      </c>
      <c r="E134" s="7" t="s">
        <v>122</v>
      </c>
      <c r="F134" s="5" t="s">
        <v>440</v>
      </c>
      <c r="G134" s="7" t="s">
        <v>266</v>
      </c>
      <c r="H134" s="9" t="s">
        <v>249</v>
      </c>
      <c r="I134" s="11" t="s">
        <v>28</v>
      </c>
      <c r="J134" s="12" t="s">
        <v>69</v>
      </c>
      <c r="K134" s="5" t="s">
        <v>1010</v>
      </c>
    </row>
    <row r="135" ht="15.75" customHeight="1">
      <c r="A135" s="5" t="s">
        <v>262</v>
      </c>
      <c r="B135" s="7" t="s">
        <v>1029</v>
      </c>
      <c r="C135" s="5" t="s">
        <v>1030</v>
      </c>
      <c r="D135" s="7" t="s">
        <v>102</v>
      </c>
      <c r="E135" s="7" t="s">
        <v>122</v>
      </c>
      <c r="F135" s="5" t="s">
        <v>1031</v>
      </c>
      <c r="G135" s="7" t="s">
        <v>266</v>
      </c>
      <c r="H135" s="9" t="s">
        <v>249</v>
      </c>
      <c r="I135" s="11" t="s">
        <v>28</v>
      </c>
      <c r="J135" s="7"/>
      <c r="K135" s="5" t="s">
        <v>1010</v>
      </c>
    </row>
    <row r="136" ht="15.75" customHeight="1">
      <c r="A136" s="5" t="s">
        <v>262</v>
      </c>
      <c r="B136" s="7" t="s">
        <v>442</v>
      </c>
      <c r="C136" s="5" t="s">
        <v>444</v>
      </c>
      <c r="D136" s="7" t="s">
        <v>102</v>
      </c>
      <c r="E136" s="7" t="s">
        <v>122</v>
      </c>
      <c r="F136" s="5" t="s">
        <v>446</v>
      </c>
      <c r="G136" s="7" t="s">
        <v>266</v>
      </c>
      <c r="H136" s="9" t="s">
        <v>249</v>
      </c>
      <c r="I136" s="11" t="s">
        <v>28</v>
      </c>
      <c r="J136" s="12" t="s">
        <v>69</v>
      </c>
      <c r="K136" s="5" t="s">
        <v>1010</v>
      </c>
    </row>
    <row r="137" ht="15.75" customHeight="1">
      <c r="A137" s="5" t="s">
        <v>262</v>
      </c>
      <c r="B137" s="7" t="s">
        <v>449</v>
      </c>
      <c r="C137" s="5" t="s">
        <v>450</v>
      </c>
      <c r="D137" s="7" t="s">
        <v>102</v>
      </c>
      <c r="E137" s="7" t="s">
        <v>122</v>
      </c>
      <c r="F137" s="5" t="s">
        <v>451</v>
      </c>
      <c r="G137" s="7" t="s">
        <v>266</v>
      </c>
      <c r="H137" s="9" t="s">
        <v>249</v>
      </c>
      <c r="I137" s="11" t="s">
        <v>28</v>
      </c>
      <c r="J137" s="12" t="s">
        <v>69</v>
      </c>
      <c r="K137" s="5" t="s">
        <v>1010</v>
      </c>
    </row>
    <row r="138" ht="15.75" customHeight="1">
      <c r="A138" s="5" t="s">
        <v>262</v>
      </c>
      <c r="B138" s="7" t="s">
        <v>1032</v>
      </c>
      <c r="C138" s="5" t="s">
        <v>1033</v>
      </c>
      <c r="D138" s="7" t="s">
        <v>102</v>
      </c>
      <c r="E138" s="7" t="s">
        <v>104</v>
      </c>
      <c r="F138" s="5" t="s">
        <v>1034</v>
      </c>
      <c r="G138" s="7" t="s">
        <v>266</v>
      </c>
      <c r="H138" s="9" t="s">
        <v>249</v>
      </c>
      <c r="I138" s="11" t="s">
        <v>28</v>
      </c>
      <c r="J138" s="7"/>
      <c r="K138" s="5" t="s">
        <v>1010</v>
      </c>
    </row>
    <row r="139" ht="15.75" customHeight="1">
      <c r="A139" s="5" t="inlineStr">
        <is>
          <t xml:space="preserve">C-2.3</t>
        </is>
      </c>
      <c r="B139" s="7" t="inlineStr">
        <is>
          <t xml:space="preserve">C-2.3-n</t>
        </is>
      </c>
      <c r="C139" s="5" t="inlineStr">
        <is>
          <t xml:space="preserve">Zero headings of any level on a page that passed the A0 validity gate</t>
        </is>
      </c>
      <c r="D139" s="7" t="inlineStr">
        <is>
          <t xml:space="preserve">WARN</t>
        </is>
      </c>
      <c r="E139" s="7" t="inlineStr">
        <is>
          <t xml:space="preserve">MEDIUM</t>
        </is>
      </c>
      <c r="F139" s="5" t="inlineStr">
        <is>
          <t xml:space="preserve">NO_HEADINGS</t>
        </is>
      </c>
      <c r="G139" s="7" t="inlineStr">
        <is>
          <t xml:space="preserve">G18, A4</t>
        </is>
      </c>
      <c r="H139" s="9" t="inlineStr">
        <is>
          <t xml:space="preserve">https://developers.google.com/search/docs/essentials/technical</t>
        </is>
      </c>
      <c r="I139" s="11" t="inlineStr">
        <is>
          <t xml:space="preserve">Google — documented</t>
        </is>
      </c>
      <c r="J139" s="12" t="inlineStr">
        <is>
          <t xml:space="preserve">Tool policy</t>
        </is>
      </c>
      <c r="K139" s="5" t="inlineStr">
        <is>
          <t xml:space="preserve">Downgraded from FAIL/HIGH. The A0 gate now guarantees this is a real page rather than an interstitial, which is what previously produced this finding falsely. A page genuinely without headings is harder for a reader and an assistant to navigate, but it is not broken. The grading is tool policy.</t>
        </is>
      </c>
    </row>
    <row r="140" ht="15.75" customHeight="1">
      <c r="A140" s="5" t="s">
        <v>262</v>
      </c>
      <c r="B140" s="7" t="s">
        <v>1038</v>
      </c>
      <c r="C140" s="5" t="s">
        <v>1039</v>
      </c>
      <c r="D140" s="7" t="s">
        <v>55</v>
      </c>
      <c r="E140" s="7" t="s">
        <v>66</v>
      </c>
      <c r="F140" s="5" t="s">
        <v>1040</v>
      </c>
      <c r="G140" s="7" t="s">
        <v>266</v>
      </c>
      <c r="H140" s="9" t="s">
        <v>249</v>
      </c>
      <c r="I140" s="11" t="s">
        <v>28</v>
      </c>
      <c r="J140" s="7"/>
      <c r="K140" s="5" t="s">
        <v>1010</v>
      </c>
    </row>
    <row r="141" ht="15.75" customHeight="1">
      <c r="A141" s="5" t="s">
        <v>276</v>
      </c>
      <c r="B141" s="7" t="s">
        <v>453</v>
      </c>
      <c r="C141" s="5" t="s">
        <v>454</v>
      </c>
      <c r="D141" s="7" t="s">
        <v>44</v>
      </c>
      <c r="E141" s="7" t="s">
        <v>45</v>
      </c>
      <c r="F141" s="5" t="s">
        <v>45</v>
      </c>
      <c r="G141" s="7" t="s">
        <v>278</v>
      </c>
      <c r="H141" s="9" t="s">
        <v>198</v>
      </c>
      <c r="I141" s="11" t="s">
        <v>28</v>
      </c>
      <c r="J141" s="12" t="s">
        <v>69</v>
      </c>
      <c r="K141" s="5" t="s">
        <v>1041</v>
      </c>
    </row>
    <row r="142" ht="15.75" customHeight="1">
      <c r="A142" s="5" t="s">
        <v>276</v>
      </c>
      <c r="B142" s="7" t="s">
        <v>1042</v>
      </c>
      <c r="C142" s="5" t="s">
        <v>1043</v>
      </c>
      <c r="D142" s="7" t="s">
        <v>1006</v>
      </c>
      <c r="E142" s="7" t="s">
        <v>45</v>
      </c>
      <c r="F142" s="5" t="s">
        <v>1044</v>
      </c>
      <c r="G142" s="7" t="s">
        <v>278</v>
      </c>
      <c r="H142" s="9" t="s">
        <v>198</v>
      </c>
      <c r="I142" s="11" t="s">
        <v>28</v>
      </c>
      <c r="J142" s="7"/>
      <c r="K142" s="5" t="s">
        <v>1041</v>
      </c>
    </row>
    <row r="143" ht="15.75" customHeight="1">
      <c r="A143" s="5" t="s">
        <v>276</v>
      </c>
      <c r="B143" s="7" t="s">
        <v>456</v>
      </c>
      <c r="C143" s="5" t="s">
        <v>457</v>
      </c>
      <c r="D143" s="7" t="s">
        <v>55</v>
      </c>
      <c r="E143" s="7" t="s">
        <v>66</v>
      </c>
      <c r="F143" s="5" t="s">
        <v>458</v>
      </c>
      <c r="G143" s="7" t="s">
        <v>1045</v>
      </c>
      <c r="H143" s="9" t="s">
        <v>198</v>
      </c>
      <c r="I143" s="11" t="s">
        <v>28</v>
      </c>
      <c r="J143" s="12" t="s">
        <v>69</v>
      </c>
      <c r="K143" s="5" t="s">
        <v>1046</v>
      </c>
    </row>
    <row r="144" ht="15.75" customHeight="1">
      <c r="A144" s="5" t="s">
        <v>276</v>
      </c>
      <c r="B144" s="7" t="s">
        <v>1047</v>
      </c>
      <c r="C144" s="5" t="s">
        <v>1048</v>
      </c>
      <c r="D144" s="7" t="s">
        <v>102</v>
      </c>
      <c r="E144" s="7" t="s">
        <v>104</v>
      </c>
      <c r="F144" s="5" t="s">
        <v>1049</v>
      </c>
      <c r="G144" s="7" t="s">
        <v>776</v>
      </c>
      <c r="H144" s="9" t="s">
        <v>781</v>
      </c>
      <c r="I144" s="23" t="s">
        <v>86</v>
      </c>
      <c r="J144" s="7"/>
      <c r="K144" s="5" t="s">
        <v>1050</v>
      </c>
    </row>
    <row r="145" ht="15.75" customHeight="1">
      <c r="A145" s="5" t="s">
        <v>276</v>
      </c>
      <c r="B145" s="7" t="s">
        <v>460</v>
      </c>
      <c r="C145" s="5" t="s">
        <v>462</v>
      </c>
      <c r="D145" s="7" t="s">
        <v>102</v>
      </c>
      <c r="E145" s="7" t="s">
        <v>104</v>
      </c>
      <c r="F145" s="5" t="s">
        <v>464</v>
      </c>
      <c r="G145" s="7" t="s">
        <v>1051</v>
      </c>
      <c r="H145" s="9" t="s">
        <v>829</v>
      </c>
      <c r="I145" s="23" t="s">
        <v>86</v>
      </c>
      <c r="J145" s="12" t="s">
        <v>69</v>
      </c>
      <c r="K145" s="5" t="s">
        <v>1052</v>
      </c>
    </row>
    <row r="146" ht="15.75" customHeight="1">
      <c r="A146" s="5" t="s">
        <v>276</v>
      </c>
      <c r="B146" s="7" t="s">
        <v>467</v>
      </c>
      <c r="C146" s="5" t="s">
        <v>468</v>
      </c>
      <c r="D146" s="7" t="s">
        <v>102</v>
      </c>
      <c r="E146" s="7" t="s">
        <v>122</v>
      </c>
      <c r="F146" s="5" t="s">
        <v>469</v>
      </c>
      <c r="G146" s="7" t="s">
        <v>278</v>
      </c>
      <c r="H146" s="9" t="s">
        <v>198</v>
      </c>
      <c r="I146" s="11" t="s">
        <v>28</v>
      </c>
      <c r="J146" s="12" t="s">
        <v>69</v>
      </c>
      <c r="K146" s="5" t="s">
        <v>1041</v>
      </c>
    </row>
    <row r="147" ht="15.75" customHeight="1">
      <c r="A147" s="5" t="s">
        <v>276</v>
      </c>
      <c r="B147" s="7" t="s">
        <v>1053</v>
      </c>
      <c r="C147" s="5" t="s">
        <v>1054</v>
      </c>
      <c r="D147" s="7" t="s">
        <v>102</v>
      </c>
      <c r="E147" s="7" t="s">
        <v>104</v>
      </c>
      <c r="F147" s="5" t="s">
        <v>1055</v>
      </c>
      <c r="G147" s="7" t="s">
        <v>278</v>
      </c>
      <c r="H147" s="9" t="s">
        <v>198</v>
      </c>
      <c r="I147" s="11" t="s">
        <v>28</v>
      </c>
      <c r="J147" s="7"/>
      <c r="K147" s="5" t="s">
        <v>1041</v>
      </c>
    </row>
    <row r="148" ht="15.75" customHeight="1">
      <c r="A148" s="5" t="s">
        <v>276</v>
      </c>
      <c r="B148" s="7" t="s">
        <v>1056</v>
      </c>
      <c r="C148" s="5" t="s">
        <v>1057</v>
      </c>
      <c r="D148" s="7" t="s">
        <v>102</v>
      </c>
      <c r="E148" s="7" t="s">
        <v>104</v>
      </c>
      <c r="F148" s="5" t="s">
        <v>1058</v>
      </c>
      <c r="G148" s="7" t="s">
        <v>278</v>
      </c>
      <c r="H148" s="9" t="s">
        <v>198</v>
      </c>
      <c r="I148" s="11" t="s">
        <v>28</v>
      </c>
      <c r="J148" s="7"/>
      <c r="K148" s="5" t="s">
        <v>1041</v>
      </c>
    </row>
    <row r="149" ht="15.75" customHeight="1">
      <c r="A149" s="5" t="s">
        <v>276</v>
      </c>
      <c r="B149" s="7" t="s">
        <v>472</v>
      </c>
      <c r="C149" s="5" t="s">
        <v>474</v>
      </c>
      <c r="D149" s="7" t="s">
        <v>55</v>
      </c>
      <c r="E149" s="7" t="s">
        <v>66</v>
      </c>
      <c r="F149" s="5" t="s">
        <v>475</v>
      </c>
      <c r="G149" s="7" t="s">
        <v>195</v>
      </c>
      <c r="H149" s="9" t="s">
        <v>198</v>
      </c>
      <c r="I149" s="11" t="s">
        <v>28</v>
      </c>
      <c r="J149" s="12" t="s">
        <v>69</v>
      </c>
      <c r="K149" s="5" t="s">
        <v>1059</v>
      </c>
    </row>
    <row r="150" ht="15.75" customHeight="1">
      <c r="A150" s="5" t="s">
        <v>276</v>
      </c>
      <c r="B150" s="7" t="s">
        <v>1060</v>
      </c>
      <c r="C150" s="5" t="s">
        <v>1061</v>
      </c>
      <c r="D150" s="7" t="s">
        <v>55</v>
      </c>
      <c r="E150" s="7" t="s">
        <v>66</v>
      </c>
      <c r="F150" s="5" t="s">
        <v>1062</v>
      </c>
      <c r="G150" s="7" t="s">
        <v>195</v>
      </c>
      <c r="H150" s="9" t="s">
        <v>198</v>
      </c>
      <c r="I150" s="11" t="s">
        <v>28</v>
      </c>
      <c r="J150" s="7"/>
      <c r="K150" s="5" t="s">
        <v>1063</v>
      </c>
    </row>
    <row r="151" ht="15.75" customHeight="1">
      <c r="A151" s="5" t="s">
        <v>297</v>
      </c>
      <c r="B151" s="7" t="s">
        <v>1064</v>
      </c>
      <c r="C151" s="5" t="s">
        <v>1065</v>
      </c>
      <c r="D151" s="7" t="s">
        <v>44</v>
      </c>
      <c r="E151" s="7" t="s">
        <v>45</v>
      </c>
      <c r="F151" s="5" t="s">
        <v>45</v>
      </c>
      <c r="G151" s="7" t="s">
        <v>300</v>
      </c>
      <c r="H151" s="9" t="s">
        <v>238</v>
      </c>
      <c r="I151" s="11" t="s">
        <v>28</v>
      </c>
      <c r="J151" s="7"/>
      <c r="K151" s="5" t="s">
        <v>1066</v>
      </c>
    </row>
    <row r="152" ht="15.75" customHeight="1">
      <c r="A152" s="5" t="inlineStr">
        <is>
          <t xml:space="preserve">C-3.1</t>
        </is>
      </c>
      <c r="B152" s="7" t="inlineStr">
        <is>
          <t xml:space="preserve">C-3.1-b</t>
        </is>
      </c>
      <c r="C152" s="5" t="inlineStr">
        <is>
          <t xml:space="preserve">No structured data of any kind on the page</t>
        </is>
      </c>
      <c r="D152" s="7" t="inlineStr">
        <is>
          <t xml:space="preserve">WARN</t>
        </is>
      </c>
      <c r="E152" s="7" t="inlineStr">
        <is>
          <t xml:space="preserve">MEDIUM</t>
        </is>
      </c>
      <c r="F152" s="5" t="inlineStr">
        <is>
          <t xml:space="preserve">NO_STRUCTURED_DATA</t>
        </is>
      </c>
      <c r="G152" s="7" t="inlineStr">
        <is>
          <t xml:space="preserve">G11</t>
        </is>
      </c>
      <c r="H152" s="9" t="inlineStr">
        <is>
          <t xml:space="preserve">https://developers.google.com/search/docs/appearance/structured-data/sd-policies</t>
        </is>
      </c>
      <c r="I152" s="11" t="inlineStr">
        <is>
          <t xml:space="preserve">Google — documented</t>
        </is>
      </c>
      <c r="J152" s="12" t="inlineStr">
        <is>
          <t xml:space="preserve">Tool policy</t>
        </is>
      </c>
      <c r="K152" s="5" t="inlineStr">
        <is>
          <t xml:space="preserve">Downgraded from FAIL/HIGH. Google documents structured data as what makes a page eligible for rich results; it does not document markup as a requirement for crawling, indexing or ranking. A page without it is missing an opportunity, not broken, and calling that a failure overstates what the absence means. The grading is tool policy, as the previous row also recorded.</t>
        </is>
      </c>
    </row>
    <row r="153" ht="15.75" customHeight="1">
      <c r="A153" s="5" t="s">
        <v>297</v>
      </c>
      <c r="B153" s="7" t="s">
        <v>1071</v>
      </c>
      <c r="C153" s="5" t="s">
        <v>1072</v>
      </c>
      <c r="D153" s="7" t="s">
        <v>55</v>
      </c>
      <c r="E153" s="7" t="s">
        <v>66</v>
      </c>
      <c r="F153" s="5" t="s">
        <v>1073</v>
      </c>
      <c r="G153" s="7" t="s">
        <v>1074</v>
      </c>
      <c r="H153" s="9" t="s">
        <v>238</v>
      </c>
      <c r="I153" s="11" t="s">
        <v>28</v>
      </c>
      <c r="J153" s="7"/>
      <c r="K153" s="5" t="s">
        <v>1075</v>
      </c>
    </row>
    <row r="154" ht="15.75" customHeight="1">
      <c r="A154" s="5" t="s">
        <v>297</v>
      </c>
      <c r="B154" s="7" t="s">
        <v>1076</v>
      </c>
      <c r="C154" s="5" t="s">
        <v>1077</v>
      </c>
      <c r="D154" s="7" t="s">
        <v>55</v>
      </c>
      <c r="E154" s="7" t="s">
        <v>66</v>
      </c>
      <c r="F154" s="5" t="s">
        <v>1078</v>
      </c>
      <c r="G154" s="7" t="s">
        <v>300</v>
      </c>
      <c r="H154" s="9" t="s">
        <v>238</v>
      </c>
      <c r="I154" s="11" t="s">
        <v>28</v>
      </c>
      <c r="J154" s="7"/>
      <c r="K154" s="5" t="s">
        <v>1079</v>
      </c>
    </row>
    <row r="155" ht="15.75" customHeight="1">
      <c r="A155" s="5" t="s">
        <v>297</v>
      </c>
      <c r="B155" s="7" t="s">
        <v>1080</v>
      </c>
      <c r="C155" s="5" t="s">
        <v>1081</v>
      </c>
      <c r="D155" s="7" t="s">
        <v>55</v>
      </c>
      <c r="E155" s="7" t="s">
        <v>66</v>
      </c>
      <c r="F155" s="5" t="s">
        <v>1082</v>
      </c>
      <c r="G155" s="7" t="s">
        <v>517</v>
      </c>
      <c r="H155" s="9" t="s">
        <v>524</v>
      </c>
      <c r="I155" s="19" t="s">
        <v>159</v>
      </c>
      <c r="J155" s="7"/>
      <c r="K155" s="5" t="s">
        <v>1083</v>
      </c>
    </row>
    <row r="156" ht="15.75" customHeight="1">
      <c r="A156" s="5" t="s">
        <v>297</v>
      </c>
      <c r="B156" s="7" t="s">
        <v>1084</v>
      </c>
      <c r="C156" s="5" t="s">
        <v>1085</v>
      </c>
      <c r="D156" s="7" t="s">
        <v>55</v>
      </c>
      <c r="E156" s="7" t="s">
        <v>66</v>
      </c>
      <c r="F156" s="5" t="s">
        <v>1086</v>
      </c>
      <c r="G156" s="7" t="s">
        <v>300</v>
      </c>
      <c r="H156" s="9" t="s">
        <v>238</v>
      </c>
      <c r="I156" s="11" t="s">
        <v>28</v>
      </c>
      <c r="J156" s="7"/>
      <c r="K156" s="5" t="s">
        <v>1066</v>
      </c>
    </row>
    <row r="157" ht="15.75" customHeight="1">
      <c r="A157" s="5" t="s">
        <v>297</v>
      </c>
      <c r="B157" s="7" t="s">
        <v>478</v>
      </c>
      <c r="C157" s="5" t="s">
        <v>480</v>
      </c>
      <c r="D157" s="7" t="s">
        <v>55</v>
      </c>
      <c r="E157" s="7" t="s">
        <v>66</v>
      </c>
      <c r="F157" s="5" t="s">
        <v>482</v>
      </c>
      <c r="G157" s="7" t="s">
        <v>300</v>
      </c>
      <c r="H157" s="9" t="s">
        <v>238</v>
      </c>
      <c r="I157" s="11" t="s">
        <v>28</v>
      </c>
      <c r="J157" s="12" t="s">
        <v>69</v>
      </c>
      <c r="K157" s="5" t="s">
        <v>1066</v>
      </c>
    </row>
    <row r="158" ht="15.75" customHeight="1">
      <c r="A158" s="5" t="s">
        <v>297</v>
      </c>
      <c r="B158" s="7" t="s">
        <v>1087</v>
      </c>
      <c r="C158" s="5" t="s">
        <v>1088</v>
      </c>
      <c r="D158" s="7" t="s">
        <v>55</v>
      </c>
      <c r="E158" s="7" t="s">
        <v>104</v>
      </c>
      <c r="F158" s="5" t="s">
        <v>1089</v>
      </c>
      <c r="G158" s="7" t="s">
        <v>300</v>
      </c>
      <c r="H158" s="9" t="s">
        <v>238</v>
      </c>
      <c r="I158" s="11" t="s">
        <v>28</v>
      </c>
      <c r="J158" s="7"/>
      <c r="K158" s="5" t="s">
        <v>1066</v>
      </c>
    </row>
    <row r="159" ht="15.75" customHeight="1">
      <c r="A159" s="5" t="s">
        <v>297</v>
      </c>
      <c r="B159" s="7" t="s">
        <v>490</v>
      </c>
      <c r="C159" s="5" t="s">
        <v>491</v>
      </c>
      <c r="D159" s="7" t="s">
        <v>55</v>
      </c>
      <c r="E159" s="7" t="s">
        <v>66</v>
      </c>
      <c r="F159" s="5" t="s">
        <v>494</v>
      </c>
      <c r="G159" s="7" t="s">
        <v>235</v>
      </c>
      <c r="H159" s="9" t="s">
        <v>238</v>
      </c>
      <c r="I159" s="11" t="s">
        <v>28</v>
      </c>
      <c r="J159" s="12" t="s">
        <v>69</v>
      </c>
      <c r="K159" s="5" t="s">
        <v>1090</v>
      </c>
    </row>
    <row r="160" ht="15.75" customHeight="1">
      <c r="A160" s="5" t="s">
        <v>297</v>
      </c>
      <c r="B160" s="7" t="s">
        <v>496</v>
      </c>
      <c r="C160" s="5" t="s">
        <v>499</v>
      </c>
      <c r="D160" s="7" t="s">
        <v>55</v>
      </c>
      <c r="E160" s="7" t="s">
        <v>104</v>
      </c>
      <c r="F160" s="5" t="s">
        <v>500</v>
      </c>
      <c r="G160" s="7" t="s">
        <v>300</v>
      </c>
      <c r="H160" s="9" t="s">
        <v>238</v>
      </c>
      <c r="I160" s="11" t="s">
        <v>28</v>
      </c>
      <c r="J160" s="12" t="s">
        <v>69</v>
      </c>
      <c r="K160" s="5" t="s">
        <v>1066</v>
      </c>
    </row>
    <row r="161" ht="15.75" customHeight="1">
      <c r="A161" s="5" t="s">
        <v>297</v>
      </c>
      <c r="B161" s="7" t="s">
        <v>1091</v>
      </c>
      <c r="C161" s="5" t="s">
        <v>1092</v>
      </c>
      <c r="D161" s="7" t="s">
        <v>55</v>
      </c>
      <c r="E161" s="7" t="s">
        <v>104</v>
      </c>
      <c r="F161" s="5" t="s">
        <v>1093</v>
      </c>
      <c r="G161" s="7" t="s">
        <v>517</v>
      </c>
      <c r="H161" s="9" t="s">
        <v>524</v>
      </c>
      <c r="I161" s="19" t="s">
        <v>159</v>
      </c>
      <c r="J161" s="7"/>
      <c r="K161" s="5" t="s">
        <v>1094</v>
      </c>
    </row>
    <row r="162" ht="15.75" customHeight="1">
      <c r="A162" s="5" t="s">
        <v>297</v>
      </c>
      <c r="B162" s="7" t="s">
        <v>1095</v>
      </c>
      <c r="C162" s="5" t="s">
        <v>1096</v>
      </c>
      <c r="D162" s="7" t="s">
        <v>102</v>
      </c>
      <c r="E162" s="7" t="s">
        <v>104</v>
      </c>
      <c r="F162" s="5" t="s">
        <v>1097</v>
      </c>
      <c r="G162" s="7" t="s">
        <v>300</v>
      </c>
      <c r="H162" s="9" t="s">
        <v>238</v>
      </c>
      <c r="I162" s="11" t="s">
        <v>28</v>
      </c>
      <c r="J162" s="7"/>
      <c r="K162" s="5" t="s">
        <v>1066</v>
      </c>
    </row>
    <row r="163" ht="15.75" customHeight="1">
      <c r="A163" s="5" t="s">
        <v>297</v>
      </c>
      <c r="B163" s="7" t="s">
        <v>1098</v>
      </c>
      <c r="C163" s="5" t="s">
        <v>1099</v>
      </c>
      <c r="D163" s="7" t="s">
        <v>102</v>
      </c>
      <c r="E163" s="7" t="s">
        <v>104</v>
      </c>
      <c r="F163" s="5" t="s">
        <v>1100</v>
      </c>
      <c r="G163" s="7" t="s">
        <v>300</v>
      </c>
      <c r="H163" s="9" t="s">
        <v>238</v>
      </c>
      <c r="I163" s="11" t="s">
        <v>28</v>
      </c>
      <c r="J163" s="7"/>
      <c r="K163" s="5" t="s">
        <v>1066</v>
      </c>
    </row>
    <row r="164" ht="15.75" customHeight="1">
      <c r="A164" s="5" t="s">
        <v>297</v>
      </c>
      <c r="B164" s="7" t="s">
        <v>1101</v>
      </c>
      <c r="C164" s="5" t="s">
        <v>1102</v>
      </c>
      <c r="D164" s="7" t="s">
        <v>102</v>
      </c>
      <c r="E164" s="7" t="s">
        <v>66</v>
      </c>
      <c r="F164" s="5" t="s">
        <v>1103</v>
      </c>
      <c r="G164" s="7" t="s">
        <v>300</v>
      </c>
      <c r="H164" s="9" t="s">
        <v>238</v>
      </c>
      <c r="I164" s="11" t="s">
        <v>28</v>
      </c>
      <c r="J164" s="7"/>
      <c r="K164" s="5" t="s">
        <v>1066</v>
      </c>
    </row>
    <row r="165" ht="15.75" customHeight="1">
      <c r="A165" s="5" t="s">
        <v>297</v>
      </c>
      <c r="B165" s="7" t="s">
        <v>1104</v>
      </c>
      <c r="C165" s="5" t="s">
        <v>1105</v>
      </c>
      <c r="D165" s="7" t="s">
        <v>102</v>
      </c>
      <c r="E165" s="7" t="s">
        <v>104</v>
      </c>
      <c r="F165" s="5" t="s">
        <v>1106</v>
      </c>
      <c r="G165" s="7" t="s">
        <v>300</v>
      </c>
      <c r="H165" s="9" t="s">
        <v>238</v>
      </c>
      <c r="I165" s="11" t="s">
        <v>28</v>
      </c>
      <c r="J165" s="7"/>
      <c r="K165" s="5" t="s">
        <v>1066</v>
      </c>
    </row>
    <row r="166" ht="15.75" customHeight="1">
      <c r="A166" s="5" t="s">
        <v>297</v>
      </c>
      <c r="B166" s="7" t="s">
        <v>1107</v>
      </c>
      <c r="C166" s="5" t="s">
        <v>1108</v>
      </c>
      <c r="D166" s="7" t="s">
        <v>102</v>
      </c>
      <c r="E166" s="7" t="s">
        <v>104</v>
      </c>
      <c r="F166" s="5" t="s">
        <v>1109</v>
      </c>
      <c r="G166" s="7" t="s">
        <v>235</v>
      </c>
      <c r="H166" s="9" t="s">
        <v>238</v>
      </c>
      <c r="I166" s="11" t="s">
        <v>28</v>
      </c>
      <c r="J166" s="7"/>
      <c r="K166" s="5" t="s">
        <v>1110</v>
      </c>
    </row>
    <row r="167" ht="15.75" customHeight="1">
      <c r="A167" s="5" t="s">
        <v>297</v>
      </c>
      <c r="B167" s="7" t="s">
        <v>1111</v>
      </c>
      <c r="C167" s="5" t="s">
        <v>1112</v>
      </c>
      <c r="D167" s="7" t="s">
        <v>1113</v>
      </c>
      <c r="E167" s="7" t="s">
        <v>45</v>
      </c>
      <c r="F167" s="5" t="s">
        <v>1114</v>
      </c>
      <c r="G167" s="7" t="s">
        <v>300</v>
      </c>
      <c r="H167" s="9" t="s">
        <v>238</v>
      </c>
      <c r="I167" s="11" t="s">
        <v>28</v>
      </c>
      <c r="J167" s="7"/>
      <c r="K167" s="5" t="s">
        <v>1066</v>
      </c>
    </row>
    <row r="168" ht="15.75" customHeight="1">
      <c r="A168" s="5" t="s">
        <v>297</v>
      </c>
      <c r="B168" s="7" t="s">
        <v>1115</v>
      </c>
      <c r="C168" s="5" t="s">
        <v>1116</v>
      </c>
      <c r="D168" s="7" t="s">
        <v>102</v>
      </c>
      <c r="E168" s="7" t="s">
        <v>122</v>
      </c>
      <c r="F168" s="5" t="s">
        <v>1117</v>
      </c>
      <c r="G168" s="7" t="s">
        <v>235</v>
      </c>
      <c r="H168" s="9" t="s">
        <v>238</v>
      </c>
      <c r="I168" s="11" t="s">
        <v>28</v>
      </c>
      <c r="J168" s="7"/>
      <c r="K168" s="5" t="s">
        <v>1118</v>
      </c>
    </row>
    <row r="169" ht="15.75" customHeight="1">
      <c r="A169" s="5" t="s">
        <v>297</v>
      </c>
      <c r="B169" s="7" t="s">
        <v>1119</v>
      </c>
      <c r="C169" s="5" t="s">
        <v>1120</v>
      </c>
      <c r="D169" s="7" t="s">
        <v>102</v>
      </c>
      <c r="E169" s="7" t="s">
        <v>104</v>
      </c>
      <c r="F169" s="5" t="s">
        <v>1121</v>
      </c>
      <c r="G169" s="7" t="s">
        <v>300</v>
      </c>
      <c r="H169" s="9" t="s">
        <v>238</v>
      </c>
      <c r="I169" s="11" t="s">
        <v>28</v>
      </c>
      <c r="J169" s="7"/>
      <c r="K169" s="5" t="s">
        <v>1066</v>
      </c>
    </row>
    <row r="170" ht="15.75" customHeight="1">
      <c r="A170" s="5" t="s">
        <v>297</v>
      </c>
      <c r="B170" s="7" t="s">
        <v>1122</v>
      </c>
      <c r="C170" s="5" t="s">
        <v>1123</v>
      </c>
      <c r="D170" s="7" t="s">
        <v>55</v>
      </c>
      <c r="E170" s="7" t="s">
        <v>66</v>
      </c>
      <c r="F170" s="5" t="s">
        <v>1124</v>
      </c>
      <c r="G170" s="7" t="s">
        <v>300</v>
      </c>
      <c r="H170" s="9" t="s">
        <v>238</v>
      </c>
      <c r="I170" s="11" t="s">
        <v>28</v>
      </c>
      <c r="J170" s="7"/>
      <c r="K170" s="5" t="s">
        <v>1066</v>
      </c>
    </row>
    <row r="171" ht="15.75" customHeight="1">
      <c r="A171" s="5" t="s">
        <v>297</v>
      </c>
      <c r="B171" s="7" t="s">
        <v>1125</v>
      </c>
      <c r="C171" s="5" t="s">
        <v>1126</v>
      </c>
      <c r="D171" s="7" t="s">
        <v>55</v>
      </c>
      <c r="E171" s="7" t="s">
        <v>66</v>
      </c>
      <c r="F171" s="5" t="s">
        <v>1127</v>
      </c>
      <c r="G171" s="7" t="s">
        <v>300</v>
      </c>
      <c r="H171" s="9" t="s">
        <v>238</v>
      </c>
      <c r="I171" s="11" t="s">
        <v>28</v>
      </c>
      <c r="J171" s="7"/>
      <c r="K171" s="5" t="s">
        <v>1066</v>
      </c>
    </row>
    <row r="172" ht="15.75" customHeight="1">
      <c r="A172" s="5" t="s">
        <v>297</v>
      </c>
      <c r="B172" s="7" t="s">
        <v>1128</v>
      </c>
      <c r="C172" s="5" t="s">
        <v>1129</v>
      </c>
      <c r="D172" s="7" t="s">
        <v>102</v>
      </c>
      <c r="E172" s="7" t="s">
        <v>122</v>
      </c>
      <c r="F172" s="5" t="s">
        <v>1130</v>
      </c>
      <c r="G172" s="7" t="s">
        <v>235</v>
      </c>
      <c r="H172" s="9" t="s">
        <v>238</v>
      </c>
      <c r="I172" s="11" t="s">
        <v>28</v>
      </c>
      <c r="J172" s="7"/>
      <c r="K172" s="5" t="s">
        <v>1131</v>
      </c>
    </row>
    <row r="173" ht="15.75" customHeight="1">
      <c r="A173" s="5" t="s">
        <v>297</v>
      </c>
      <c r="B173" s="7" t="s">
        <v>1132</v>
      </c>
      <c r="C173" s="5" t="s">
        <v>1133</v>
      </c>
      <c r="D173" s="7" t="s">
        <v>55</v>
      </c>
      <c r="E173" s="7" t="s">
        <v>104</v>
      </c>
      <c r="F173" s="5" t="s">
        <v>1134</v>
      </c>
      <c r="G173" s="7" t="s">
        <v>300</v>
      </c>
      <c r="H173" s="9" t="s">
        <v>238</v>
      </c>
      <c r="I173" s="11" t="s">
        <v>28</v>
      </c>
      <c r="J173" s="7"/>
      <c r="K173" s="5" t="s">
        <v>1066</v>
      </c>
    </row>
    <row r="174" ht="15.75" customHeight="1">
      <c r="A174" s="5" t="s">
        <v>297</v>
      </c>
      <c r="B174" s="7" t="s">
        <v>1135</v>
      </c>
      <c r="C174" s="5" t="s">
        <v>1136</v>
      </c>
      <c r="D174" s="7" t="s">
        <v>102</v>
      </c>
      <c r="E174" s="7" t="s">
        <v>104</v>
      </c>
      <c r="F174" s="5" t="s">
        <v>1137</v>
      </c>
      <c r="G174" s="7" t="s">
        <v>251</v>
      </c>
      <c r="H174" s="9" t="s">
        <v>253</v>
      </c>
      <c r="I174" s="11" t="s">
        <v>28</v>
      </c>
      <c r="J174" s="7"/>
      <c r="K174" s="5" t="s">
        <v>1138</v>
      </c>
    </row>
    <row r="175" ht="15.75" customHeight="1">
      <c r="A175" s="5" t="s">
        <v>297</v>
      </c>
      <c r="B175" s="7" t="s">
        <v>1139</v>
      </c>
      <c r="C175" s="5" t="s">
        <v>1140</v>
      </c>
      <c r="D175" s="7" t="s">
        <v>102</v>
      </c>
      <c r="E175" s="7" t="s">
        <v>66</v>
      </c>
      <c r="F175" s="5" t="s">
        <v>1141</v>
      </c>
      <c r="G175" s="7" t="s">
        <v>300</v>
      </c>
      <c r="H175" s="9" t="s">
        <v>238</v>
      </c>
      <c r="I175" s="11" t="s">
        <v>28</v>
      </c>
      <c r="J175" s="7"/>
      <c r="K175" s="5" t="s">
        <v>1066</v>
      </c>
    </row>
    <row r="176" ht="15.75" customHeight="1">
      <c r="A176" s="5" t="s">
        <v>297</v>
      </c>
      <c r="B176" s="7" t="s">
        <v>1142</v>
      </c>
      <c r="C176" s="5" t="s">
        <v>1143</v>
      </c>
      <c r="D176" s="7" t="s">
        <v>102</v>
      </c>
      <c r="E176" s="7" t="s">
        <v>122</v>
      </c>
      <c r="F176" s="5" t="s">
        <v>1144</v>
      </c>
      <c r="G176" s="7" t="s">
        <v>300</v>
      </c>
      <c r="H176" s="9" t="s">
        <v>238</v>
      </c>
      <c r="I176" s="11" t="s">
        <v>28</v>
      </c>
      <c r="J176" s="7"/>
      <c r="K176" s="5" t="s">
        <v>1066</v>
      </c>
    </row>
    <row r="177" ht="15.75" customHeight="1">
      <c r="A177" s="5" t="s">
        <v>297</v>
      </c>
      <c r="B177" s="7" t="s">
        <v>1145</v>
      </c>
      <c r="C177" s="5" t="s">
        <v>1146</v>
      </c>
      <c r="D177" s="7" t="s">
        <v>102</v>
      </c>
      <c r="E177" s="7" t="s">
        <v>122</v>
      </c>
      <c r="F177" s="5" t="s">
        <v>1147</v>
      </c>
      <c r="G177" s="7" t="s">
        <v>300</v>
      </c>
      <c r="H177" s="9" t="s">
        <v>238</v>
      </c>
      <c r="I177" s="11" t="s">
        <v>28</v>
      </c>
      <c r="J177" s="7"/>
      <c r="K177" s="5" t="s">
        <v>1066</v>
      </c>
    </row>
    <row r="178" ht="15.75" customHeight="1">
      <c r="A178" s="5" t="s">
        <v>314</v>
      </c>
      <c r="B178" s="7" t="s">
        <v>1148</v>
      </c>
      <c r="C178" s="5" t="s">
        <v>1149</v>
      </c>
      <c r="D178" s="7" t="s">
        <v>1006</v>
      </c>
      <c r="E178" s="7" t="s">
        <v>45</v>
      </c>
      <c r="F178" s="5" t="s">
        <v>1150</v>
      </c>
      <c r="G178" s="7" t="s">
        <v>215</v>
      </c>
      <c r="H178" s="9" t="s">
        <v>218</v>
      </c>
      <c r="I178" s="11" t="s">
        <v>28</v>
      </c>
      <c r="J178" s="7"/>
      <c r="K178" s="5" t="s">
        <v>1151</v>
      </c>
    </row>
    <row r="179" ht="15.75" customHeight="1">
      <c r="A179" s="5" t="s">
        <v>314</v>
      </c>
      <c r="B179" s="7" t="s">
        <v>504</v>
      </c>
      <c r="C179" s="5" t="s">
        <v>506</v>
      </c>
      <c r="D179" s="7" t="s">
        <v>44</v>
      </c>
      <c r="E179" s="7" t="s">
        <v>45</v>
      </c>
      <c r="F179" s="5" t="s">
        <v>45</v>
      </c>
      <c r="G179" s="7" t="s">
        <v>215</v>
      </c>
      <c r="H179" s="9" t="s">
        <v>218</v>
      </c>
      <c r="I179" s="11" t="s">
        <v>28</v>
      </c>
      <c r="J179" s="12" t="s">
        <v>69</v>
      </c>
      <c r="K179" s="5" t="s">
        <v>1151</v>
      </c>
    </row>
    <row r="180" ht="15.75" customHeight="1">
      <c r="A180" s="5" t="s">
        <v>314</v>
      </c>
      <c r="B180" s="7" t="s">
        <v>1152</v>
      </c>
      <c r="C180" s="5" t="s">
        <v>1153</v>
      </c>
      <c r="D180" s="7" t="s">
        <v>102</v>
      </c>
      <c r="E180" s="7" t="s">
        <v>66</v>
      </c>
      <c r="F180" s="5" t="s">
        <v>1154</v>
      </c>
      <c r="G180" s="7" t="s">
        <v>215</v>
      </c>
      <c r="H180" s="9" t="s">
        <v>218</v>
      </c>
      <c r="I180" s="11" t="s">
        <v>28</v>
      </c>
      <c r="J180" s="7"/>
      <c r="K180" s="5" t="s">
        <v>1151</v>
      </c>
    </row>
    <row r="181" ht="15.75" customHeight="1">
      <c r="A181" s="5" t="s">
        <v>314</v>
      </c>
      <c r="B181" s="7" t="s">
        <v>508</v>
      </c>
      <c r="C181" s="5" t="s">
        <v>511</v>
      </c>
      <c r="D181" s="7" t="s">
        <v>55</v>
      </c>
      <c r="E181" s="7" t="s">
        <v>56</v>
      </c>
      <c r="F181" s="5" t="s">
        <v>513</v>
      </c>
      <c r="G181" s="7" t="s">
        <v>215</v>
      </c>
      <c r="H181" s="9" t="s">
        <v>218</v>
      </c>
      <c r="I181" s="11" t="s">
        <v>28</v>
      </c>
      <c r="J181" s="12" t="s">
        <v>69</v>
      </c>
      <c r="K181" s="5" t="s">
        <v>1155</v>
      </c>
    </row>
    <row r="182" ht="15.75" customHeight="1">
      <c r="A182" s="5" t="s">
        <v>314</v>
      </c>
      <c r="B182" s="7" t="s">
        <v>1156</v>
      </c>
      <c r="C182" s="5" t="s">
        <v>1157</v>
      </c>
      <c r="D182" s="7" t="s">
        <v>55</v>
      </c>
      <c r="E182" s="7" t="s">
        <v>66</v>
      </c>
      <c r="F182" s="5" t="s">
        <v>1158</v>
      </c>
      <c r="G182" s="7" t="s">
        <v>215</v>
      </c>
      <c r="H182" s="9" t="s">
        <v>218</v>
      </c>
      <c r="I182" s="11" t="s">
        <v>28</v>
      </c>
      <c r="J182" s="7"/>
      <c r="K182" s="5" t="s">
        <v>1151</v>
      </c>
    </row>
    <row r="183" ht="15.75" customHeight="1">
      <c r="A183" s="5" t="s">
        <v>314</v>
      </c>
      <c r="B183" s="7" t="s">
        <v>1159</v>
      </c>
      <c r="C183" s="5" t="s">
        <v>1160</v>
      </c>
      <c r="D183" s="7" t="s">
        <v>55</v>
      </c>
      <c r="E183" s="7" t="s">
        <v>66</v>
      </c>
      <c r="F183" s="5" t="s">
        <v>1161</v>
      </c>
      <c r="G183" s="7" t="s">
        <v>215</v>
      </c>
      <c r="H183" s="9" t="s">
        <v>218</v>
      </c>
      <c r="I183" s="11" t="s">
        <v>28</v>
      </c>
      <c r="J183" s="7"/>
      <c r="K183" s="5" t="s">
        <v>1162</v>
      </c>
    </row>
    <row r="184" ht="15.75" customHeight="1">
      <c r="A184" s="5" t="s">
        <v>314</v>
      </c>
      <c r="B184" s="7" t="s">
        <v>1163</v>
      </c>
      <c r="C184" s="5" t="s">
        <v>1164</v>
      </c>
      <c r="D184" s="7" t="s">
        <v>55</v>
      </c>
      <c r="E184" s="7" t="s">
        <v>66</v>
      </c>
      <c r="F184" s="5" t="s">
        <v>1165</v>
      </c>
      <c r="G184" s="7" t="s">
        <v>215</v>
      </c>
      <c r="H184" s="9" t="s">
        <v>218</v>
      </c>
      <c r="I184" s="11" t="s">
        <v>28</v>
      </c>
      <c r="J184" s="7"/>
      <c r="K184" s="5" t="s">
        <v>1166</v>
      </c>
    </row>
    <row r="185" ht="15.75" customHeight="1">
      <c r="A185" s="5" t="s">
        <v>314</v>
      </c>
      <c r="B185" s="7" t="s">
        <v>1167</v>
      </c>
      <c r="C185" s="5" t="s">
        <v>1168</v>
      </c>
      <c r="D185" s="7" t="s">
        <v>55</v>
      </c>
      <c r="E185" s="7" t="s">
        <v>66</v>
      </c>
      <c r="F185" s="5" t="s">
        <v>1169</v>
      </c>
      <c r="G185" s="7" t="s">
        <v>215</v>
      </c>
      <c r="H185" s="9" t="s">
        <v>218</v>
      </c>
      <c r="I185" s="11" t="s">
        <v>28</v>
      </c>
      <c r="J185" s="7"/>
      <c r="K185" s="5" t="s">
        <v>1170</v>
      </c>
    </row>
    <row r="186" ht="15.75" customHeight="1">
      <c r="A186" s="5" t="s">
        <v>314</v>
      </c>
      <c r="B186" s="7" t="s">
        <v>1171</v>
      </c>
      <c r="C186" s="5" t="s">
        <v>1172</v>
      </c>
      <c r="D186" s="7" t="s">
        <v>55</v>
      </c>
      <c r="E186" s="7" t="s">
        <v>66</v>
      </c>
      <c r="F186" s="5" t="s">
        <v>1173</v>
      </c>
      <c r="G186" s="7" t="s">
        <v>215</v>
      </c>
      <c r="H186" s="9" t="s">
        <v>218</v>
      </c>
      <c r="I186" s="11" t="s">
        <v>28</v>
      </c>
      <c r="J186" s="7"/>
      <c r="K186" s="5" t="s">
        <v>1151</v>
      </c>
    </row>
    <row r="187" ht="15.75" customHeight="1">
      <c r="A187" s="5" t="s">
        <v>314</v>
      </c>
      <c r="B187" s="7" t="s">
        <v>1174</v>
      </c>
      <c r="C187" s="5" t="s">
        <v>1175</v>
      </c>
      <c r="D187" s="7" t="s">
        <v>55</v>
      </c>
      <c r="E187" s="7" t="s">
        <v>66</v>
      </c>
      <c r="F187" s="5" t="s">
        <v>1176</v>
      </c>
      <c r="G187" s="7" t="s">
        <v>215</v>
      </c>
      <c r="H187" s="9" t="s">
        <v>218</v>
      </c>
      <c r="I187" s="11" t="s">
        <v>28</v>
      </c>
      <c r="J187" s="7"/>
      <c r="K187" s="5" t="s">
        <v>1151</v>
      </c>
    </row>
    <row r="188" ht="15.75" customHeight="1">
      <c r="A188" s="5" t="s">
        <v>314</v>
      </c>
      <c r="B188" s="7" t="s">
        <v>1177</v>
      </c>
      <c r="C188" s="5" t="s">
        <v>1178</v>
      </c>
      <c r="D188" s="7" t="s">
        <v>55</v>
      </c>
      <c r="E188" s="7" t="s">
        <v>56</v>
      </c>
      <c r="F188" s="5" t="s">
        <v>1179</v>
      </c>
      <c r="G188" s="7" t="s">
        <v>215</v>
      </c>
      <c r="H188" s="9" t="s">
        <v>218</v>
      </c>
      <c r="I188" s="11" t="s">
        <v>28</v>
      </c>
      <c r="J188" s="7"/>
      <c r="K188" s="5" t="s">
        <v>1151</v>
      </c>
    </row>
    <row r="189" ht="15.75" customHeight="1">
      <c r="A189" s="5" t="s">
        <v>314</v>
      </c>
      <c r="B189" s="7" t="s">
        <v>1180</v>
      </c>
      <c r="C189" s="5" t="s">
        <v>1181</v>
      </c>
      <c r="D189" s="7" t="s">
        <v>55</v>
      </c>
      <c r="E189" s="7" t="s">
        <v>66</v>
      </c>
      <c r="F189" s="5" t="s">
        <v>1182</v>
      </c>
      <c r="G189" s="7" t="s">
        <v>215</v>
      </c>
      <c r="H189" s="9" t="s">
        <v>218</v>
      </c>
      <c r="I189" s="11" t="s">
        <v>28</v>
      </c>
      <c r="J189" s="7"/>
      <c r="K189" s="5" t="s">
        <v>1151</v>
      </c>
    </row>
    <row r="190" ht="15.75" customHeight="1">
      <c r="A190" s="5" t="s">
        <v>314</v>
      </c>
      <c r="B190" s="7" t="s">
        <v>1183</v>
      </c>
      <c r="C190" s="5" t="s">
        <v>1184</v>
      </c>
      <c r="D190" s="7" t="s">
        <v>102</v>
      </c>
      <c r="E190" s="7" t="s">
        <v>122</v>
      </c>
      <c r="F190" s="5" t="s">
        <v>1185</v>
      </c>
      <c r="G190" s="7" t="s">
        <v>215</v>
      </c>
      <c r="H190" s="9" t="s">
        <v>218</v>
      </c>
      <c r="I190" s="11" t="s">
        <v>28</v>
      </c>
      <c r="J190" s="7"/>
      <c r="K190" s="5" t="s">
        <v>1186</v>
      </c>
    </row>
    <row r="191" ht="15.75" customHeight="1">
      <c r="A191" s="5" t="s">
        <v>314</v>
      </c>
      <c r="B191" s="7" t="s">
        <v>1187</v>
      </c>
      <c r="C191" s="5" t="s">
        <v>1188</v>
      </c>
      <c r="D191" s="7" t="s">
        <v>102</v>
      </c>
      <c r="E191" s="7" t="s">
        <v>104</v>
      </c>
      <c r="F191" s="5" t="s">
        <v>1189</v>
      </c>
      <c r="G191" s="7" t="s">
        <v>215</v>
      </c>
      <c r="H191" s="9" t="s">
        <v>218</v>
      </c>
      <c r="I191" s="11" t="s">
        <v>28</v>
      </c>
      <c r="J191" s="7"/>
      <c r="K191" s="5" t="s">
        <v>1151</v>
      </c>
    </row>
    <row r="192" ht="15.75" customHeight="1">
      <c r="A192" s="5" t="s">
        <v>314</v>
      </c>
      <c r="B192" s="7" t="s">
        <v>1190</v>
      </c>
      <c r="C192" s="5" t="s">
        <v>1191</v>
      </c>
      <c r="D192" s="7" t="s">
        <v>102</v>
      </c>
      <c r="E192" s="7" t="s">
        <v>66</v>
      </c>
      <c r="F192" s="5" t="s">
        <v>1192</v>
      </c>
      <c r="G192" s="7" t="s">
        <v>215</v>
      </c>
      <c r="H192" s="9" t="s">
        <v>218</v>
      </c>
      <c r="I192" s="11" t="s">
        <v>28</v>
      </c>
      <c r="J192" s="7"/>
      <c r="K192" s="5" t="s">
        <v>1151</v>
      </c>
    </row>
    <row r="193" ht="15.75" customHeight="1">
      <c r="A193" s="5" t="s">
        <v>314</v>
      </c>
      <c r="B193" s="7" t="s">
        <v>1193</v>
      </c>
      <c r="C193" s="5" t="s">
        <v>1194</v>
      </c>
      <c r="D193" s="7" t="s">
        <v>102</v>
      </c>
      <c r="E193" s="7" t="s">
        <v>66</v>
      </c>
      <c r="F193" s="5" t="s">
        <v>1195</v>
      </c>
      <c r="G193" s="7" t="s">
        <v>215</v>
      </c>
      <c r="H193" s="9" t="s">
        <v>218</v>
      </c>
      <c r="I193" s="11" t="s">
        <v>28</v>
      </c>
      <c r="J193" s="7"/>
      <c r="K193" s="5" t="s">
        <v>1151</v>
      </c>
    </row>
    <row r="194" ht="15.75" customHeight="1">
      <c r="A194" s="5" t="s">
        <v>314</v>
      </c>
      <c r="B194" s="7" t="s">
        <v>1196</v>
      </c>
      <c r="C194" s="5" t="s">
        <v>1197</v>
      </c>
      <c r="D194" s="7" t="s">
        <v>102</v>
      </c>
      <c r="E194" s="7" t="s">
        <v>104</v>
      </c>
      <c r="F194" s="5" t="s">
        <v>1198</v>
      </c>
      <c r="G194" s="7" t="s">
        <v>215</v>
      </c>
      <c r="H194" s="9" t="s">
        <v>218</v>
      </c>
      <c r="I194" s="11" t="s">
        <v>28</v>
      </c>
      <c r="J194" s="7"/>
      <c r="K194" s="5" t="s">
        <v>1151</v>
      </c>
    </row>
    <row r="195" ht="15.75" customHeight="1">
      <c r="A195" s="5" t="s">
        <v>314</v>
      </c>
      <c r="B195" s="7" t="s">
        <v>1199</v>
      </c>
      <c r="C195" s="5" t="s">
        <v>1200</v>
      </c>
      <c r="D195" s="7" t="s">
        <v>55</v>
      </c>
      <c r="E195" s="7" t="s">
        <v>66</v>
      </c>
      <c r="F195" s="5" t="s">
        <v>1201</v>
      </c>
      <c r="G195" s="7" t="s">
        <v>215</v>
      </c>
      <c r="H195" s="9" t="s">
        <v>218</v>
      </c>
      <c r="I195" s="11" t="s">
        <v>28</v>
      </c>
      <c r="J195" s="7"/>
      <c r="K195" s="5" t="s">
        <v>1151</v>
      </c>
    </row>
    <row r="196" ht="15.75" customHeight="1">
      <c r="A196" s="5" t="s">
        <v>314</v>
      </c>
      <c r="B196" s="7" t="s">
        <v>1202</v>
      </c>
      <c r="C196" s="5" t="s">
        <v>1203</v>
      </c>
      <c r="D196" s="7" t="s">
        <v>1204</v>
      </c>
      <c r="E196" s="7" t="s">
        <v>45</v>
      </c>
      <c r="F196" s="5" t="s">
        <v>1205</v>
      </c>
      <c r="G196" s="7" t="s">
        <v>215</v>
      </c>
      <c r="H196" s="9" t="s">
        <v>218</v>
      </c>
      <c r="I196" s="11" t="s">
        <v>28</v>
      </c>
      <c r="J196" s="7"/>
      <c r="K196" s="5" t="s">
        <v>1151</v>
      </c>
    </row>
    <row r="197" ht="15.75" customHeight="1">
      <c r="A197" s="5" t="s">
        <v>331</v>
      </c>
      <c r="B197" s="7" t="s">
        <v>514</v>
      </c>
      <c r="C197" s="5" t="s">
        <v>515</v>
      </c>
      <c r="D197" s="7" t="s">
        <v>44</v>
      </c>
      <c r="E197" s="7" t="s">
        <v>45</v>
      </c>
      <c r="F197" s="5" t="s">
        <v>45</v>
      </c>
      <c r="G197" s="7" t="s">
        <v>335</v>
      </c>
      <c r="H197" s="9" t="s">
        <v>337</v>
      </c>
      <c r="I197" s="11" t="s">
        <v>28</v>
      </c>
      <c r="J197" s="12" t="s">
        <v>69</v>
      </c>
      <c r="K197" s="5" t="s">
        <v>1206</v>
      </c>
    </row>
    <row r="198" ht="15.75" customHeight="1">
      <c r="A198" s="5" t="s">
        <v>331</v>
      </c>
      <c r="B198" s="7" t="s">
        <v>1207</v>
      </c>
      <c r="C198" s="5" t="s">
        <v>1208</v>
      </c>
      <c r="D198" s="7" t="s">
        <v>55</v>
      </c>
      <c r="E198" s="7" t="s">
        <v>66</v>
      </c>
      <c r="F198" s="5" t="s">
        <v>1209</v>
      </c>
      <c r="G198" s="7" t="s">
        <v>335</v>
      </c>
      <c r="H198" s="9" t="s">
        <v>337</v>
      </c>
      <c r="I198" s="11" t="s">
        <v>28</v>
      </c>
      <c r="J198" s="7"/>
      <c r="K198" s="5" t="s">
        <v>1206</v>
      </c>
    </row>
    <row r="199" ht="15.75" customHeight="1">
      <c r="A199" s="5" t="s">
        <v>331</v>
      </c>
      <c r="B199" s="7" t="s">
        <v>1210</v>
      </c>
      <c r="C199" s="5" t="s">
        <v>1211</v>
      </c>
      <c r="D199" s="7" t="s">
        <v>102</v>
      </c>
      <c r="E199" s="7" t="s">
        <v>104</v>
      </c>
      <c r="F199" s="5" t="s">
        <v>1212</v>
      </c>
      <c r="G199" s="7" t="s">
        <v>335</v>
      </c>
      <c r="H199" s="9" t="s">
        <v>337</v>
      </c>
      <c r="I199" s="11" t="s">
        <v>28</v>
      </c>
      <c r="J199" s="7"/>
      <c r="K199" s="5" t="s">
        <v>1206</v>
      </c>
    </row>
    <row r="200" ht="15.75" customHeight="1">
      <c r="A200" s="5" t="s">
        <v>331</v>
      </c>
      <c r="B200" s="7" t="s">
        <v>1213</v>
      </c>
      <c r="C200" s="5" t="s">
        <v>1214</v>
      </c>
      <c r="D200" s="7" t="s">
        <v>44</v>
      </c>
      <c r="E200" s="7" t="s">
        <v>45</v>
      </c>
      <c r="F200" s="5" t="s">
        <v>1215</v>
      </c>
      <c r="G200" s="7" t="s">
        <v>335</v>
      </c>
      <c r="H200" s="9" t="s">
        <v>337</v>
      </c>
      <c r="I200" s="11" t="s">
        <v>28</v>
      </c>
      <c r="J200" s="7"/>
      <c r="K200" s="5" t="s">
        <v>1206</v>
      </c>
    </row>
    <row r="201" ht="15.75" customHeight="1">
      <c r="A201" s="5" t="s">
        <v>331</v>
      </c>
      <c r="B201" s="7" t="s">
        <v>1216</v>
      </c>
      <c r="C201" s="5" t="s">
        <v>1217</v>
      </c>
      <c r="D201" s="7" t="s">
        <v>102</v>
      </c>
      <c r="E201" s="7" t="s">
        <v>104</v>
      </c>
      <c r="F201" s="5" t="s">
        <v>1218</v>
      </c>
      <c r="G201" s="7" t="s">
        <v>335</v>
      </c>
      <c r="H201" s="9" t="s">
        <v>337</v>
      </c>
      <c r="I201" s="11" t="s">
        <v>28</v>
      </c>
      <c r="J201" s="7"/>
      <c r="K201" s="5" t="s">
        <v>1206</v>
      </c>
    </row>
    <row r="202" ht="15.75" customHeight="1">
      <c r="A202" s="5" t="s">
        <v>331</v>
      </c>
      <c r="B202" s="7" t="s">
        <v>1219</v>
      </c>
      <c r="C202" s="5" t="s">
        <v>1220</v>
      </c>
      <c r="D202" s="7" t="s">
        <v>1221</v>
      </c>
      <c r="E202" s="7" t="s">
        <v>45</v>
      </c>
      <c r="F202" s="5" t="s">
        <v>1222</v>
      </c>
      <c r="G202" s="7" t="s">
        <v>443</v>
      </c>
      <c r="H202" s="9" t="s">
        <v>448</v>
      </c>
      <c r="I202" s="11" t="s">
        <v>28</v>
      </c>
      <c r="J202" s="7"/>
      <c r="K202" s="5" t="s">
        <v>1223</v>
      </c>
    </row>
    <row r="203" ht="15.75" customHeight="1">
      <c r="A203" s="5" t="s">
        <v>331</v>
      </c>
      <c r="B203" s="7" t="s">
        <v>1224</v>
      </c>
      <c r="C203" s="5" t="s">
        <v>1225</v>
      </c>
      <c r="D203" s="7" t="s">
        <v>175</v>
      </c>
      <c r="E203" s="7" t="s">
        <v>45</v>
      </c>
      <c r="F203" s="5" t="s">
        <v>1226</v>
      </c>
      <c r="G203" s="7" t="s">
        <v>335</v>
      </c>
      <c r="H203" s="9" t="s">
        <v>337</v>
      </c>
      <c r="I203" s="11" t="s">
        <v>28</v>
      </c>
      <c r="J203" s="7"/>
      <c r="K203" s="5" t="s">
        <v>1206</v>
      </c>
    </row>
    <row r="204" ht="15.75" customHeight="1">
      <c r="A204" s="5" t="s">
        <v>331</v>
      </c>
      <c r="B204" s="7" t="s">
        <v>525</v>
      </c>
      <c r="C204" s="5" t="s">
        <v>526</v>
      </c>
      <c r="D204" s="7" t="s">
        <v>1227</v>
      </c>
      <c r="E204" s="7" t="s">
        <v>45</v>
      </c>
      <c r="F204" s="5" t="s">
        <v>527</v>
      </c>
      <c r="G204" s="7" t="s">
        <v>335</v>
      </c>
      <c r="H204" s="9" t="s">
        <v>337</v>
      </c>
      <c r="I204" s="11" t="s">
        <v>28</v>
      </c>
      <c r="J204" s="12" t="s">
        <v>69</v>
      </c>
      <c r="K204" s="5" t="s">
        <v>1206</v>
      </c>
    </row>
    <row r="205" ht="15.75" customHeight="1">
      <c r="A205" s="5" t="s">
        <v>331</v>
      </c>
      <c r="B205" s="7" t="s">
        <v>528</v>
      </c>
      <c r="C205" s="5" t="s">
        <v>530</v>
      </c>
      <c r="D205" s="7" t="s">
        <v>175</v>
      </c>
      <c r="E205" s="7" t="s">
        <v>45</v>
      </c>
      <c r="F205" s="5" t="s">
        <v>532</v>
      </c>
      <c r="G205" s="7" t="s">
        <v>335</v>
      </c>
      <c r="H205" s="9" t="s">
        <v>337</v>
      </c>
      <c r="I205" s="11" t="s">
        <v>28</v>
      </c>
      <c r="J205" s="12" t="s">
        <v>69</v>
      </c>
      <c r="K205" s="5" t="s">
        <v>1206</v>
      </c>
    </row>
    <row r="206" ht="15.75" customHeight="1">
      <c r="A206" s="5" t="s">
        <v>331</v>
      </c>
      <c r="B206" s="7" t="s">
        <v>1228</v>
      </c>
      <c r="C206" s="5" t="s">
        <v>1229</v>
      </c>
      <c r="D206" s="7" t="s">
        <v>175</v>
      </c>
      <c r="E206" s="7" t="s">
        <v>45</v>
      </c>
      <c r="F206" s="5" t="s">
        <v>1230</v>
      </c>
      <c r="G206" s="7" t="s">
        <v>335</v>
      </c>
      <c r="H206" s="9" t="s">
        <v>337</v>
      </c>
      <c r="I206" s="11" t="s">
        <v>28</v>
      </c>
      <c r="J206" s="7"/>
      <c r="K206" s="5" t="s">
        <v>1206</v>
      </c>
    </row>
    <row r="207" ht="15.75" customHeight="1">
      <c r="A207" s="5" t="s">
        <v>331</v>
      </c>
      <c r="B207" s="7" t="s">
        <v>1231</v>
      </c>
      <c r="C207" s="5" t="s">
        <v>1232</v>
      </c>
      <c r="D207" s="7" t="s">
        <v>175</v>
      </c>
      <c r="E207" s="7" t="s">
        <v>45</v>
      </c>
      <c r="F207" s="5" t="s">
        <v>1233</v>
      </c>
      <c r="G207" s="7" t="s">
        <v>335</v>
      </c>
      <c r="H207" s="9" t="s">
        <v>337</v>
      </c>
      <c r="I207" s="11" t="s">
        <v>28</v>
      </c>
      <c r="J207" s="7"/>
      <c r="K207" s="5" t="s">
        <v>1206</v>
      </c>
    </row>
    <row r="208" ht="15.75" customHeight="1">
      <c r="A208" s="5" t="s">
        <v>331</v>
      </c>
      <c r="B208" s="7" t="s">
        <v>1234</v>
      </c>
      <c r="C208" s="5" t="s">
        <v>1235</v>
      </c>
      <c r="D208" s="7" t="s">
        <v>102</v>
      </c>
      <c r="E208" s="7" t="s">
        <v>122</v>
      </c>
      <c r="F208" s="5" t="s">
        <v>1236</v>
      </c>
      <c r="G208" s="7" t="s">
        <v>335</v>
      </c>
      <c r="H208" s="9" t="s">
        <v>337</v>
      </c>
      <c r="I208" s="11" t="s">
        <v>28</v>
      </c>
      <c r="J208" s="7" t="s">
        <v>107</v>
      </c>
      <c r="K208" s="5" t="s">
        <v>1206</v>
      </c>
    </row>
    <row r="209" ht="15.75" customHeight="1">
      <c r="A209" s="5" t="s">
        <v>331</v>
      </c>
      <c r="B209" s="7" t="s">
        <v>1237</v>
      </c>
      <c r="C209" s="5" t="s">
        <v>1238</v>
      </c>
      <c r="D209" s="7" t="s">
        <v>1239</v>
      </c>
      <c r="E209" s="7"/>
      <c r="F209" s="5" t="s">
        <v>1240</v>
      </c>
      <c r="G209" s="7" t="s">
        <v>335</v>
      </c>
      <c r="H209" s="9" t="s">
        <v>337</v>
      </c>
      <c r="I209" s="11" t="s">
        <v>28</v>
      </c>
      <c r="J209" s="7"/>
      <c r="K209" s="5" t="s">
        <v>1206</v>
      </c>
    </row>
    <row r="210" ht="15.75" customHeight="1">
      <c r="A210" s="5" t="s">
        <v>331</v>
      </c>
      <c r="B210" s="7" t="s">
        <v>535</v>
      </c>
      <c r="C210" s="5" t="s">
        <v>536</v>
      </c>
      <c r="D210" s="7" t="s">
        <v>102</v>
      </c>
      <c r="E210" s="7" t="s">
        <v>122</v>
      </c>
      <c r="F210" s="5" t="s">
        <v>537</v>
      </c>
      <c r="G210" s="7" t="s">
        <v>335</v>
      </c>
      <c r="H210" s="9" t="s">
        <v>337</v>
      </c>
      <c r="I210" s="11" t="s">
        <v>28</v>
      </c>
      <c r="J210" s="12" t="s">
        <v>69</v>
      </c>
      <c r="K210" s="5" t="s">
        <v>1206</v>
      </c>
    </row>
    <row r="211" ht="15.75" customHeight="1">
      <c r="A211" s="5" t="s">
        <v>355</v>
      </c>
      <c r="B211" s="7" t="s">
        <v>1241</v>
      </c>
      <c r="C211" s="5" t="s">
        <v>1242</v>
      </c>
      <c r="D211" s="7" t="s">
        <v>44</v>
      </c>
      <c r="E211" s="7" t="s">
        <v>45</v>
      </c>
      <c r="F211" s="5" t="s">
        <v>45</v>
      </c>
      <c r="G211" s="7" t="s">
        <v>361</v>
      </c>
      <c r="H211" s="9" t="s">
        <v>363</v>
      </c>
      <c r="I211" s="21" t="s">
        <v>75</v>
      </c>
      <c r="J211" s="7"/>
      <c r="K211" s="5" t="s">
        <v>1243</v>
      </c>
    </row>
    <row r="212" ht="15.75" customHeight="1">
      <c r="A212" s="5" t="s">
        <v>355</v>
      </c>
      <c r="B212" s="7" t="s">
        <v>539</v>
      </c>
      <c r="C212" s="5" t="s">
        <v>542</v>
      </c>
      <c r="D212" s="7" t="s">
        <v>55</v>
      </c>
      <c r="E212" s="7" t="s">
        <v>66</v>
      </c>
      <c r="F212" s="5" t="s">
        <v>544</v>
      </c>
      <c r="G212" s="7" t="s">
        <v>1244</v>
      </c>
      <c r="H212" s="9" t="s">
        <v>363</v>
      </c>
      <c r="I212" s="21" t="s">
        <v>75</v>
      </c>
      <c r="J212" s="12" t="s">
        <v>69</v>
      </c>
      <c r="K212" s="5" t="s">
        <v>1245</v>
      </c>
    </row>
    <row r="213" ht="15.75" customHeight="1">
      <c r="A213" s="5" t="s">
        <v>355</v>
      </c>
      <c r="B213" s="7" t="s">
        <v>1246</v>
      </c>
      <c r="C213" s="5" t="s">
        <v>1247</v>
      </c>
      <c r="D213" s="7" t="s">
        <v>55</v>
      </c>
      <c r="E213" s="7" t="s">
        <v>66</v>
      </c>
      <c r="F213" s="5" t="s">
        <v>1248</v>
      </c>
      <c r="G213" s="7" t="s">
        <v>361</v>
      </c>
      <c r="H213" s="9" t="s">
        <v>363</v>
      </c>
      <c r="I213" s="21" t="s">
        <v>75</v>
      </c>
      <c r="J213" s="7"/>
      <c r="K213" s="5" t="s">
        <v>1243</v>
      </c>
    </row>
    <row r="214" ht="15.75" customHeight="1">
      <c r="A214" s="5" t="s">
        <v>355</v>
      </c>
      <c r="B214" s="7" t="s">
        <v>1249</v>
      </c>
      <c r="C214" s="5" t="s">
        <v>1250</v>
      </c>
      <c r="D214" s="7" t="s">
        <v>44</v>
      </c>
      <c r="E214" s="7" t="s">
        <v>45</v>
      </c>
      <c r="F214" s="5" t="s">
        <v>1251</v>
      </c>
      <c r="G214" s="7" t="s">
        <v>361</v>
      </c>
      <c r="H214" s="9" t="s">
        <v>363</v>
      </c>
      <c r="I214" s="21" t="s">
        <v>75</v>
      </c>
      <c r="J214" s="7"/>
      <c r="K214" s="5" t="s">
        <v>1243</v>
      </c>
    </row>
    <row r="215" ht="15.75" customHeight="1">
      <c r="A215" s="5" t="s">
        <v>355</v>
      </c>
      <c r="B215" s="7" t="s">
        <v>1252</v>
      </c>
      <c r="C215" s="5" t="s">
        <v>1253</v>
      </c>
      <c r="D215" s="7" t="s">
        <v>44</v>
      </c>
      <c r="E215" s="7" t="s">
        <v>45</v>
      </c>
      <c r="F215" s="5" t="s">
        <v>1254</v>
      </c>
      <c r="G215" s="7" t="s">
        <v>99</v>
      </c>
      <c r="H215" s="9" t="s">
        <v>103</v>
      </c>
      <c r="I215" s="11" t="s">
        <v>28</v>
      </c>
      <c r="J215" s="7"/>
      <c r="K215" s="5" t="s">
        <v>1255</v>
      </c>
    </row>
    <row r="216" ht="15.75" customHeight="1">
      <c r="A216" s="5" t="s">
        <v>355</v>
      </c>
      <c r="B216" s="7" t="s">
        <v>1256</v>
      </c>
      <c r="C216" s="5" t="s">
        <v>1257</v>
      </c>
      <c r="D216" s="7" t="s">
        <v>44</v>
      </c>
      <c r="E216" s="7" t="s">
        <v>45</v>
      </c>
      <c r="F216" s="5" t="s">
        <v>1258</v>
      </c>
      <c r="G216" s="7" t="s">
        <v>927</v>
      </c>
      <c r="H216" s="9" t="s">
        <v>930</v>
      </c>
      <c r="I216" s="21" t="s">
        <v>75</v>
      </c>
      <c r="J216" s="7"/>
      <c r="K216" s="5" t="s">
        <v>1259</v>
      </c>
    </row>
    <row r="217" ht="15.75" customHeight="1">
      <c r="A217" s="5" t="s">
        <v>355</v>
      </c>
      <c r="B217" s="7" t="s">
        <v>1260</v>
      </c>
      <c r="C217" s="5" t="s">
        <v>1261</v>
      </c>
      <c r="D217" s="7" t="s">
        <v>102</v>
      </c>
      <c r="E217" s="7" t="s">
        <v>122</v>
      </c>
      <c r="F217" s="5" t="s">
        <v>1262</v>
      </c>
      <c r="G217" s="7" t="s">
        <v>361</v>
      </c>
      <c r="H217" s="9" t="s">
        <v>363</v>
      </c>
      <c r="I217" s="21" t="s">
        <v>75</v>
      </c>
      <c r="J217" s="7"/>
      <c r="K217" s="5" t="s">
        <v>1243</v>
      </c>
    </row>
    <row r="218" ht="15.75" customHeight="1">
      <c r="A218" s="5" t="s">
        <v>355</v>
      </c>
      <c r="B218" s="7" t="s">
        <v>1263</v>
      </c>
      <c r="C218" s="5" t="s">
        <v>1264</v>
      </c>
      <c r="D218" s="7" t="s">
        <v>55</v>
      </c>
      <c r="E218" s="7" t="s">
        <v>56</v>
      </c>
      <c r="F218" s="5" t="s">
        <v>1265</v>
      </c>
      <c r="G218" s="7" t="s">
        <v>361</v>
      </c>
      <c r="H218" s="9" t="s">
        <v>363</v>
      </c>
      <c r="I218" s="21" t="s">
        <v>75</v>
      </c>
      <c r="J218" s="7"/>
      <c r="K218" s="5" t="s">
        <v>1243</v>
      </c>
    </row>
    <row r="219" ht="15.75" customHeight="1">
      <c r="A219" s="5" t="s">
        <v>355</v>
      </c>
      <c r="B219" s="7" t="s">
        <v>549</v>
      </c>
      <c r="C219" s="5" t="s">
        <v>550</v>
      </c>
      <c r="D219" s="7" t="s">
        <v>102</v>
      </c>
      <c r="E219" s="7" t="s">
        <v>66</v>
      </c>
      <c r="F219" s="5" t="s">
        <v>551</v>
      </c>
      <c r="G219" s="7" t="s">
        <v>361</v>
      </c>
      <c r="H219" s="9" t="s">
        <v>363</v>
      </c>
      <c r="I219" s="21" t="s">
        <v>75</v>
      </c>
      <c r="J219" s="12" t="s">
        <v>69</v>
      </c>
      <c r="K219" s="5" t="s">
        <v>1243</v>
      </c>
    </row>
    <row r="220" ht="15.75" customHeight="1">
      <c r="A220" s="5" t="s">
        <v>355</v>
      </c>
      <c r="B220" s="7" t="s">
        <v>1266</v>
      </c>
      <c r="C220" s="5" t="s">
        <v>1267</v>
      </c>
      <c r="D220" s="7" t="s">
        <v>102</v>
      </c>
      <c r="E220" s="7" t="s">
        <v>66</v>
      </c>
      <c r="F220" s="5" t="s">
        <v>1268</v>
      </c>
      <c r="G220" s="7" t="s">
        <v>361</v>
      </c>
      <c r="H220" s="9" t="s">
        <v>363</v>
      </c>
      <c r="I220" s="21" t="s">
        <v>75</v>
      </c>
      <c r="J220" s="7"/>
      <c r="K220" s="5" t="s">
        <v>1243</v>
      </c>
    </row>
    <row r="221" ht="15.75" customHeight="1">
      <c r="A221" s="5" t="s">
        <v>355</v>
      </c>
      <c r="B221" s="7" t="s">
        <v>1269</v>
      </c>
      <c r="C221" s="5" t="s">
        <v>1270</v>
      </c>
      <c r="D221" s="7" t="s">
        <v>44</v>
      </c>
      <c r="E221" s="7" t="s">
        <v>45</v>
      </c>
      <c r="F221" s="5" t="s">
        <v>1271</v>
      </c>
      <c r="G221" s="7" t="s">
        <v>361</v>
      </c>
      <c r="H221" s="9" t="s">
        <v>363</v>
      </c>
      <c r="I221" s="21" t="s">
        <v>75</v>
      </c>
      <c r="J221" s="7"/>
      <c r="K221" s="5" t="s">
        <v>1243</v>
      </c>
    </row>
    <row r="222" ht="15.75" customHeight="1">
      <c r="A222" s="5" t="s">
        <v>355</v>
      </c>
      <c r="B222" s="7" t="s">
        <v>1272</v>
      </c>
      <c r="C222" s="5" t="s">
        <v>1273</v>
      </c>
      <c r="D222" s="7" t="s">
        <v>102</v>
      </c>
      <c r="E222" s="7" t="s">
        <v>122</v>
      </c>
      <c r="F222" s="5" t="s">
        <v>1274</v>
      </c>
      <c r="G222" s="7" t="s">
        <v>361</v>
      </c>
      <c r="H222" s="9" t="s">
        <v>363</v>
      </c>
      <c r="I222" s="21" t="s">
        <v>75</v>
      </c>
      <c r="J222" s="7"/>
      <c r="K222" s="5" t="s">
        <v>1243</v>
      </c>
    </row>
    <row r="223" ht="15.75" customHeight="1">
      <c r="A223" s="5" t="s">
        <v>355</v>
      </c>
      <c r="B223" s="7" t="s">
        <v>1275</v>
      </c>
      <c r="C223" s="5" t="s">
        <v>1276</v>
      </c>
      <c r="D223" s="7" t="s">
        <v>55</v>
      </c>
      <c r="E223" s="7" t="s">
        <v>66</v>
      </c>
      <c r="F223" s="5" t="s">
        <v>1277</v>
      </c>
      <c r="G223" s="7" t="s">
        <v>361</v>
      </c>
      <c r="H223" s="9" t="s">
        <v>363</v>
      </c>
      <c r="I223" s="21" t="s">
        <v>75</v>
      </c>
      <c r="J223" s="7"/>
      <c r="K223" s="5" t="s">
        <v>1243</v>
      </c>
    </row>
    <row r="224" ht="15.75" customHeight="1">
      <c r="A224" s="5" t="s">
        <v>355</v>
      </c>
      <c r="B224" s="7" t="s">
        <v>1278</v>
      </c>
      <c r="C224" s="5" t="s">
        <v>1279</v>
      </c>
      <c r="D224" s="7" t="s">
        <v>175</v>
      </c>
      <c r="E224" s="7" t="s">
        <v>45</v>
      </c>
      <c r="F224" s="5" t="s">
        <v>1280</v>
      </c>
      <c r="G224" s="7" t="s">
        <v>11</v>
      </c>
      <c r="H224" s="9" t="s">
        <v>29</v>
      </c>
      <c r="I224" s="11" t="s">
        <v>28</v>
      </c>
      <c r="J224" s="7"/>
      <c r="K224" s="5" t="s">
        <v>80</v>
      </c>
    </row>
    <row r="225" ht="15.75" customHeight="1">
      <c r="A225" s="5" t="s">
        <v>378</v>
      </c>
      <c r="B225" s="7" t="s">
        <v>553</v>
      </c>
      <c r="C225" s="5" t="s">
        <v>555</v>
      </c>
      <c r="D225" s="7" t="s">
        <v>44</v>
      </c>
      <c r="E225" s="7" t="s">
        <v>45</v>
      </c>
      <c r="F225" s="5" t="s">
        <v>45</v>
      </c>
      <c r="G225" s="7" t="s">
        <v>195</v>
      </c>
      <c r="H225" s="9" t="s">
        <v>198</v>
      </c>
      <c r="I225" s="11" t="s">
        <v>28</v>
      </c>
      <c r="J225" s="12" t="s">
        <v>69</v>
      </c>
      <c r="K225" s="5" t="s">
        <v>1281</v>
      </c>
    </row>
    <row r="226" ht="15.75" customHeight="1">
      <c r="A226" s="5" t="s">
        <v>378</v>
      </c>
      <c r="B226" s="7" t="s">
        <v>558</v>
      </c>
      <c r="C226" s="5" t="s">
        <v>560</v>
      </c>
      <c r="D226" s="7" t="s">
        <v>55</v>
      </c>
      <c r="E226" s="7" t="s">
        <v>56</v>
      </c>
      <c r="F226" s="5" t="s">
        <v>562</v>
      </c>
      <c r="G226" s="7" t="s">
        <v>195</v>
      </c>
      <c r="H226" s="9" t="s">
        <v>198</v>
      </c>
      <c r="I226" s="11" t="s">
        <v>28</v>
      </c>
      <c r="J226" s="12" t="s">
        <v>69</v>
      </c>
      <c r="K226" s="5" t="s">
        <v>1282</v>
      </c>
    </row>
    <row r="227" ht="15.75" customHeight="1">
      <c r="A227" s="5" t="s">
        <v>378</v>
      </c>
      <c r="B227" s="7" t="s">
        <v>567</v>
      </c>
      <c r="C227" s="5" t="s">
        <v>568</v>
      </c>
      <c r="D227" s="7" t="s">
        <v>55</v>
      </c>
      <c r="E227" s="7" t="s">
        <v>66</v>
      </c>
      <c r="F227" s="5" t="s">
        <v>570</v>
      </c>
      <c r="G227" s="7" t="s">
        <v>195</v>
      </c>
      <c r="H227" s="9" t="s">
        <v>198</v>
      </c>
      <c r="I227" s="11" t="s">
        <v>28</v>
      </c>
      <c r="J227" s="12" t="s">
        <v>69</v>
      </c>
      <c r="K227" s="5" t="s">
        <v>1281</v>
      </c>
    </row>
    <row r="228" ht="15.75" customHeight="1">
      <c r="A228" s="5" t="s">
        <v>378</v>
      </c>
      <c r="B228" s="7" t="s">
        <v>572</v>
      </c>
      <c r="C228" s="5" t="s">
        <v>573</v>
      </c>
      <c r="D228" s="7" t="s">
        <v>102</v>
      </c>
      <c r="E228" s="7" t="s">
        <v>104</v>
      </c>
      <c r="F228" s="5" t="s">
        <v>574</v>
      </c>
      <c r="G228" s="7" t="s">
        <v>195</v>
      </c>
      <c r="H228" s="9" t="s">
        <v>198</v>
      </c>
      <c r="I228" s="11" t="s">
        <v>28</v>
      </c>
      <c r="J228" s="12" t="s">
        <v>69</v>
      </c>
      <c r="K228" s="5" t="s">
        <v>1281</v>
      </c>
    </row>
    <row r="229" ht="15.75" customHeight="1">
      <c r="A229" s="5" t="s">
        <v>378</v>
      </c>
      <c r="B229" s="7" t="s">
        <v>577</v>
      </c>
      <c r="C229" s="5" t="s">
        <v>579</v>
      </c>
      <c r="D229" s="7" t="s">
        <v>55</v>
      </c>
      <c r="E229" s="7" t="s">
        <v>56</v>
      </c>
      <c r="F229" s="5" t="s">
        <v>580</v>
      </c>
      <c r="G229" s="7" t="s">
        <v>195</v>
      </c>
      <c r="H229" s="9" t="s">
        <v>198</v>
      </c>
      <c r="I229" s="11" t="s">
        <v>28</v>
      </c>
      <c r="J229" s="12" t="s">
        <v>69</v>
      </c>
      <c r="K229" s="5" t="s">
        <v>1283</v>
      </c>
    </row>
    <row r="230" ht="15.75" customHeight="1">
      <c r="A230" s="5" t="s">
        <v>378</v>
      </c>
      <c r="B230" s="7" t="s">
        <v>1284</v>
      </c>
      <c r="C230" s="5" t="s">
        <v>1285</v>
      </c>
      <c r="D230" s="7" t="s">
        <v>55</v>
      </c>
      <c r="E230" s="7" t="s">
        <v>66</v>
      </c>
      <c r="F230" s="5" t="s">
        <v>1286</v>
      </c>
      <c r="G230" s="7" t="s">
        <v>195</v>
      </c>
      <c r="H230" s="9" t="s">
        <v>198</v>
      </c>
      <c r="I230" s="11" t="s">
        <v>28</v>
      </c>
      <c r="J230" s="7"/>
      <c r="K230" s="5" t="s">
        <v>1281</v>
      </c>
    </row>
    <row r="231" ht="15.75" customHeight="1">
      <c r="A231" s="5" t="s">
        <v>378</v>
      </c>
      <c r="B231" s="7" t="s">
        <v>1287</v>
      </c>
      <c r="C231" s="5" t="s">
        <v>1288</v>
      </c>
      <c r="D231" s="7" t="s">
        <v>55</v>
      </c>
      <c r="E231" s="7" t="s">
        <v>66</v>
      </c>
      <c r="F231" s="5" t="s">
        <v>1289</v>
      </c>
      <c r="G231" s="7" t="s">
        <v>195</v>
      </c>
      <c r="H231" s="9" t="s">
        <v>198</v>
      </c>
      <c r="I231" s="11" t="s">
        <v>28</v>
      </c>
      <c r="J231" s="7"/>
      <c r="K231" s="5" t="s">
        <v>1281</v>
      </c>
    </row>
    <row r="232" ht="15.75" customHeight="1">
      <c r="A232" s="5" t="s">
        <v>378</v>
      </c>
      <c r="B232" s="7" t="s">
        <v>1290</v>
      </c>
      <c r="C232" s="5" t="s">
        <v>1291</v>
      </c>
      <c r="D232" s="7" t="s">
        <v>102</v>
      </c>
      <c r="E232" s="7" t="s">
        <v>66</v>
      </c>
      <c r="F232" s="5" t="s">
        <v>1292</v>
      </c>
      <c r="G232" s="7" t="s">
        <v>195</v>
      </c>
      <c r="H232" s="9" t="s">
        <v>198</v>
      </c>
      <c r="I232" s="11" t="s">
        <v>28</v>
      </c>
      <c r="J232" s="7"/>
      <c r="K232" s="5" t="s">
        <v>1281</v>
      </c>
    </row>
    <row r="233" ht="15.75" customHeight="1">
      <c r="A233" s="5" t="s">
        <v>378</v>
      </c>
      <c r="B233" s="7" t="s">
        <v>584</v>
      </c>
      <c r="C233" s="5" t="s">
        <v>585</v>
      </c>
      <c r="D233" s="7" t="s">
        <v>55</v>
      </c>
      <c r="E233" s="7" t="s">
        <v>66</v>
      </c>
      <c r="F233" s="5" t="s">
        <v>475</v>
      </c>
      <c r="G233" s="7" t="s">
        <v>195</v>
      </c>
      <c r="H233" s="9" t="s">
        <v>198</v>
      </c>
      <c r="I233" s="11" t="s">
        <v>28</v>
      </c>
      <c r="J233" s="12" t="s">
        <v>69</v>
      </c>
      <c r="K233" s="5" t="s">
        <v>1059</v>
      </c>
    </row>
    <row r="234" ht="15.75" customHeight="1">
      <c r="A234" s="5" t="s">
        <v>378</v>
      </c>
      <c r="B234" s="7" t="s">
        <v>1293</v>
      </c>
      <c r="C234" s="5" t="s">
        <v>1294</v>
      </c>
      <c r="D234" s="7" t="s">
        <v>102</v>
      </c>
      <c r="E234" s="7" t="s">
        <v>122</v>
      </c>
      <c r="F234" s="5" t="s">
        <v>1295</v>
      </c>
      <c r="G234" s="7" t="s">
        <v>195</v>
      </c>
      <c r="H234" s="9" t="s">
        <v>198</v>
      </c>
      <c r="I234" s="11" t="s">
        <v>28</v>
      </c>
      <c r="J234" s="7"/>
      <c r="K234" s="5" t="s">
        <v>1281</v>
      </c>
    </row>
    <row r="235" ht="15.75" customHeight="1">
      <c r="A235" s="5" t="s">
        <v>378</v>
      </c>
      <c r="B235" s="7" t="s">
        <v>587</v>
      </c>
      <c r="C235" s="5" t="s">
        <v>588</v>
      </c>
      <c r="D235" s="7" t="s">
        <v>102</v>
      </c>
      <c r="E235" s="7" t="s">
        <v>104</v>
      </c>
      <c r="F235" s="5" t="s">
        <v>591</v>
      </c>
      <c r="G235" s="7" t="s">
        <v>195</v>
      </c>
      <c r="H235" s="9" t="s">
        <v>198</v>
      </c>
      <c r="I235" s="11" t="s">
        <v>28</v>
      </c>
      <c r="J235" s="12" t="s">
        <v>69</v>
      </c>
      <c r="K235" s="5" t="s">
        <v>1281</v>
      </c>
    </row>
    <row r="236" ht="15.75" customHeight="1">
      <c r="A236" s="5" t="s">
        <v>378</v>
      </c>
      <c r="B236" s="7" t="s">
        <v>1296</v>
      </c>
      <c r="C236" s="5" t="s">
        <v>1297</v>
      </c>
      <c r="D236" s="7" t="s">
        <v>55</v>
      </c>
      <c r="E236" s="7" t="s">
        <v>56</v>
      </c>
      <c r="F236" s="5" t="s">
        <v>1298</v>
      </c>
      <c r="G236" s="7" t="s">
        <v>195</v>
      </c>
      <c r="H236" s="9" t="s">
        <v>198</v>
      </c>
      <c r="I236" s="11" t="s">
        <v>28</v>
      </c>
      <c r="J236" s="7"/>
      <c r="K236" s="5" t="s">
        <v>1281</v>
      </c>
    </row>
    <row r="237" ht="15.75" customHeight="1">
      <c r="A237" s="5" t="s">
        <v>378</v>
      </c>
      <c r="B237" s="7" t="s">
        <v>593</v>
      </c>
      <c r="C237" s="5" t="s">
        <v>594</v>
      </c>
      <c r="D237" s="7" t="s">
        <v>175</v>
      </c>
      <c r="E237" s="7" t="s">
        <v>45</v>
      </c>
      <c r="F237" s="5" t="s">
        <v>596</v>
      </c>
      <c r="G237" s="7" t="s">
        <v>195</v>
      </c>
      <c r="H237" s="9" t="s">
        <v>198</v>
      </c>
      <c r="I237" s="11" t="s">
        <v>28</v>
      </c>
      <c r="J237" s="12" t="s">
        <v>69</v>
      </c>
      <c r="K237" s="5" t="s">
        <v>1281</v>
      </c>
    </row>
    <row r="238" ht="15.75" customHeight="1">
      <c r="A238" s="5" t="s">
        <v>378</v>
      </c>
      <c r="B238" s="7" t="s">
        <v>1299</v>
      </c>
      <c r="C238" s="5" t="s">
        <v>1300</v>
      </c>
      <c r="D238" s="7" t="s">
        <v>175</v>
      </c>
      <c r="E238" s="7" t="s">
        <v>45</v>
      </c>
      <c r="F238" s="5" t="s">
        <v>1301</v>
      </c>
      <c r="G238" s="7" t="s">
        <v>195</v>
      </c>
      <c r="H238" s="9" t="s">
        <v>198</v>
      </c>
      <c r="I238" s="11" t="s">
        <v>28</v>
      </c>
      <c r="J238" s="7"/>
      <c r="K238" s="5" t="s">
        <v>1281</v>
      </c>
    </row>
    <row r="239" ht="15.75" customHeight="1">
      <c r="A239" s="5" t="s">
        <v>385</v>
      </c>
      <c r="B239" s="7" t="s">
        <v>599</v>
      </c>
      <c r="C239" s="5" t="s">
        <v>601</v>
      </c>
      <c r="D239" s="7" t="s">
        <v>44</v>
      </c>
      <c r="E239" s="7" t="s">
        <v>45</v>
      </c>
      <c r="F239" s="5" t="s">
        <v>45</v>
      </c>
      <c r="G239" s="7" t="s">
        <v>389</v>
      </c>
      <c r="H239" s="9" t="s">
        <v>391</v>
      </c>
      <c r="I239" s="22" t="s">
        <v>95</v>
      </c>
      <c r="J239" s="12" t="s">
        <v>69</v>
      </c>
      <c r="K239" s="5" t="s">
        <v>1302</v>
      </c>
    </row>
    <row r="240" ht="15.75" customHeight="1">
      <c r="A240" s="5" t="s">
        <v>385</v>
      </c>
      <c r="B240" s="7" t="s">
        <v>606</v>
      </c>
      <c r="C240" s="5" t="s">
        <v>607</v>
      </c>
      <c r="D240" s="7" t="s">
        <v>102</v>
      </c>
      <c r="E240" s="7" t="s">
        <v>122</v>
      </c>
      <c r="F240" s="5" t="s">
        <v>608</v>
      </c>
      <c r="G240" s="7" t="s">
        <v>389</v>
      </c>
      <c r="H240" s="9" t="s">
        <v>391</v>
      </c>
      <c r="I240" s="22" t="s">
        <v>95</v>
      </c>
      <c r="J240" s="12" t="s">
        <v>69</v>
      </c>
      <c r="K240" s="5" t="s">
        <v>1303</v>
      </c>
    </row>
    <row r="241" ht="15.75" customHeight="1">
      <c r="A241" s="5" t="s">
        <v>385</v>
      </c>
      <c r="B241" s="7" t="s">
        <v>609</v>
      </c>
      <c r="C241" s="5" t="s">
        <v>610</v>
      </c>
      <c r="D241" s="7" t="s">
        <v>55</v>
      </c>
      <c r="E241" s="7" t="s">
        <v>104</v>
      </c>
      <c r="F241" s="5" t="s">
        <v>611</v>
      </c>
      <c r="G241" s="7" t="s">
        <v>389</v>
      </c>
      <c r="H241" s="9" t="s">
        <v>391</v>
      </c>
      <c r="I241" s="22" t="s">
        <v>95</v>
      </c>
      <c r="J241" s="12" t="s">
        <v>69</v>
      </c>
      <c r="K241" s="5" t="s">
        <v>1302</v>
      </c>
    </row>
    <row r="242" ht="15.75" customHeight="1">
      <c r="A242" s="5" t="s">
        <v>385</v>
      </c>
      <c r="B242" s="7" t="s">
        <v>612</v>
      </c>
      <c r="C242" s="5" t="s">
        <v>613</v>
      </c>
      <c r="D242" s="7" t="s">
        <v>55</v>
      </c>
      <c r="E242" s="7" t="s">
        <v>104</v>
      </c>
      <c r="F242" s="5" t="s">
        <v>614</v>
      </c>
      <c r="G242" s="7" t="s">
        <v>389</v>
      </c>
      <c r="H242" s="9" t="s">
        <v>391</v>
      </c>
      <c r="I242" s="22" t="s">
        <v>95</v>
      </c>
      <c r="J242" s="12" t="s">
        <v>69</v>
      </c>
      <c r="K242" s="5" t="s">
        <v>1302</v>
      </c>
    </row>
    <row r="243" ht="15.75" customHeight="1">
      <c r="A243" s="5" t="s">
        <v>385</v>
      </c>
      <c r="B243" s="7" t="s">
        <v>615</v>
      </c>
      <c r="C243" s="5" t="s">
        <v>616</v>
      </c>
      <c r="D243" s="7" t="s">
        <v>102</v>
      </c>
      <c r="E243" s="7" t="s">
        <v>104</v>
      </c>
      <c r="F243" s="5" t="s">
        <v>617</v>
      </c>
      <c r="G243" s="7" t="s">
        <v>389</v>
      </c>
      <c r="H243" s="9" t="s">
        <v>391</v>
      </c>
      <c r="I243" s="22" t="s">
        <v>95</v>
      </c>
      <c r="J243" s="12" t="s">
        <v>69</v>
      </c>
      <c r="K243" s="5" t="s">
        <v>1302</v>
      </c>
    </row>
    <row r="244" ht="15.75" customHeight="1">
      <c r="A244" s="5" t="s">
        <v>385</v>
      </c>
      <c r="B244" s="7" t="s">
        <v>618</v>
      </c>
      <c r="C244" s="5" t="s">
        <v>619</v>
      </c>
      <c r="D244" s="7" t="s">
        <v>55</v>
      </c>
      <c r="E244" s="7" t="s">
        <v>104</v>
      </c>
      <c r="F244" s="5" t="s">
        <v>620</v>
      </c>
      <c r="G244" s="7" t="s">
        <v>389</v>
      </c>
      <c r="H244" s="9" t="s">
        <v>391</v>
      </c>
      <c r="I244" s="22" t="s">
        <v>95</v>
      </c>
      <c r="J244" s="12" t="s">
        <v>69</v>
      </c>
      <c r="K244" s="5" t="s">
        <v>1302</v>
      </c>
    </row>
    <row r="245" ht="15.75" customHeight="1">
      <c r="A245" s="5" t="s">
        <v>385</v>
      </c>
      <c r="B245" s="7" t="s">
        <v>624</v>
      </c>
      <c r="C245" s="5" t="s">
        <v>625</v>
      </c>
      <c r="D245" s="7" t="s">
        <v>55</v>
      </c>
      <c r="E245" s="7" t="s">
        <v>104</v>
      </c>
      <c r="F245" s="5" t="s">
        <v>627</v>
      </c>
      <c r="G245" s="7" t="s">
        <v>389</v>
      </c>
      <c r="H245" s="9" t="s">
        <v>391</v>
      </c>
      <c r="I245" s="22" t="s">
        <v>95</v>
      </c>
      <c r="J245" s="12" t="s">
        <v>69</v>
      </c>
      <c r="K245" s="5" t="s">
        <v>1302</v>
      </c>
    </row>
    <row r="246" ht="15.75" customHeight="1">
      <c r="A246" s="5" t="s">
        <v>385</v>
      </c>
      <c r="B246" s="7" t="s">
        <v>629</v>
      </c>
      <c r="C246" s="5" t="s">
        <v>630</v>
      </c>
      <c r="D246" s="7" t="s">
        <v>102</v>
      </c>
      <c r="E246" s="7" t="s">
        <v>122</v>
      </c>
      <c r="F246" s="5" t="s">
        <v>632</v>
      </c>
      <c r="G246" s="7" t="s">
        <v>389</v>
      </c>
      <c r="H246" s="9" t="s">
        <v>391</v>
      </c>
      <c r="I246" s="22" t="s">
        <v>95</v>
      </c>
      <c r="J246" s="12" t="s">
        <v>69</v>
      </c>
      <c r="K246" s="5" t="s">
        <v>1302</v>
      </c>
    </row>
    <row r="247" ht="15.75" customHeight="1">
      <c r="A247" s="5" t="s">
        <v>385</v>
      </c>
      <c r="B247" s="7" t="s">
        <v>1304</v>
      </c>
      <c r="C247" s="5" t="s">
        <v>1305</v>
      </c>
      <c r="D247" s="7" t="s">
        <v>175</v>
      </c>
      <c r="E247" s="7" t="s">
        <v>45</v>
      </c>
      <c r="F247" s="5" t="s">
        <v>1306</v>
      </c>
      <c r="G247" s="7" t="s">
        <v>389</v>
      </c>
      <c r="H247" s="9" t="s">
        <v>391</v>
      </c>
      <c r="I247" s="22" t="s">
        <v>95</v>
      </c>
      <c r="J247" s="7"/>
      <c r="K247" s="5" t="s">
        <v>1302</v>
      </c>
    </row>
    <row r="248" ht="15.75" customHeight="1">
      <c r="A248" s="5" t="s">
        <v>385</v>
      </c>
      <c r="B248" s="7" t="s">
        <v>635</v>
      </c>
      <c r="C248" s="5" t="s">
        <v>636</v>
      </c>
      <c r="D248" s="7" t="s">
        <v>55</v>
      </c>
      <c r="E248" s="7" t="s">
        <v>104</v>
      </c>
      <c r="F248" s="5" t="s">
        <v>637</v>
      </c>
      <c r="G248" s="7" t="s">
        <v>389</v>
      </c>
      <c r="H248" s="9" t="s">
        <v>391</v>
      </c>
      <c r="I248" s="22" t="s">
        <v>95</v>
      </c>
      <c r="J248" s="12" t="s">
        <v>69</v>
      </c>
      <c r="K248" s="5" t="s">
        <v>1302</v>
      </c>
    </row>
    <row r="249" ht="15.75" customHeight="1">
      <c r="A249" s="5" t="s">
        <v>385</v>
      </c>
      <c r="B249" s="7" t="s">
        <v>1307</v>
      </c>
      <c r="C249" s="5" t="s">
        <v>1308</v>
      </c>
      <c r="D249" s="7" t="s">
        <v>102</v>
      </c>
      <c r="E249" s="7" t="s">
        <v>122</v>
      </c>
      <c r="F249" s="5" t="s">
        <v>1309</v>
      </c>
      <c r="G249" s="7" t="s">
        <v>389</v>
      </c>
      <c r="H249" s="9" t="s">
        <v>391</v>
      </c>
      <c r="I249" s="22" t="s">
        <v>95</v>
      </c>
      <c r="J249" s="7"/>
      <c r="K249" s="5" t="s">
        <v>1302</v>
      </c>
    </row>
    <row r="250" ht="15.75" customHeight="1">
      <c r="A250" s="5" t="s">
        <v>385</v>
      </c>
      <c r="B250" s="7" t="s">
        <v>1310</v>
      </c>
      <c r="C250" s="5" t="s">
        <v>1311</v>
      </c>
      <c r="D250" s="7" t="s">
        <v>102</v>
      </c>
      <c r="E250" s="7" t="s">
        <v>104</v>
      </c>
      <c r="F250" s="5" t="s">
        <v>1312</v>
      </c>
      <c r="G250" s="7" t="s">
        <v>389</v>
      </c>
      <c r="H250" s="9" t="s">
        <v>391</v>
      </c>
      <c r="I250" s="22" t="s">
        <v>95</v>
      </c>
      <c r="J250" s="7"/>
      <c r="K250" s="5" t="s">
        <v>1302</v>
      </c>
    </row>
    <row r="251" ht="15.75" customHeight="1">
      <c r="A251" s="5" t="s">
        <v>385</v>
      </c>
      <c r="B251" s="7" t="s">
        <v>1313</v>
      </c>
      <c r="C251" s="5" t="s">
        <v>1314</v>
      </c>
      <c r="D251" s="7" t="s">
        <v>44</v>
      </c>
      <c r="E251" s="7" t="s">
        <v>45</v>
      </c>
      <c r="F251" s="5" t="s">
        <v>1315</v>
      </c>
      <c r="G251" s="7" t="s">
        <v>389</v>
      </c>
      <c r="H251" s="9" t="s">
        <v>391</v>
      </c>
      <c r="I251" s="22" t="s">
        <v>95</v>
      </c>
      <c r="J251" s="7"/>
      <c r="K251" s="5" t="s">
        <v>1302</v>
      </c>
    </row>
    <row r="252" ht="15.75" customHeight="1">
      <c r="A252" s="5" t="s">
        <v>385</v>
      </c>
      <c r="B252" s="7" t="s">
        <v>1316</v>
      </c>
      <c r="C252" s="5" t="s">
        <v>1317</v>
      </c>
      <c r="D252" s="7" t="s">
        <v>102</v>
      </c>
      <c r="E252" s="7" t="s">
        <v>104</v>
      </c>
      <c r="F252" s="5" t="s">
        <v>1318</v>
      </c>
      <c r="G252" s="7" t="s">
        <v>389</v>
      </c>
      <c r="H252" s="9" t="s">
        <v>391</v>
      </c>
      <c r="I252" s="22" t="s">
        <v>95</v>
      </c>
      <c r="J252" s="7"/>
      <c r="K252" s="5" t="s">
        <v>1302</v>
      </c>
    </row>
    <row r="253" ht="15.75" customHeight="1">
      <c r="A253" s="5" t="s">
        <v>414</v>
      </c>
      <c r="B253" s="7" t="s">
        <v>638</v>
      </c>
      <c r="C253" s="5" t="s">
        <v>640</v>
      </c>
      <c r="D253" s="7" t="s">
        <v>44</v>
      </c>
      <c r="E253" s="7" t="s">
        <v>45</v>
      </c>
      <c r="F253" s="5" t="s">
        <v>45</v>
      </c>
      <c r="G253" s="7" t="s">
        <v>418</v>
      </c>
      <c r="H253" s="9" t="s">
        <v>336</v>
      </c>
      <c r="I253" s="11" t="s">
        <v>28</v>
      </c>
      <c r="J253" s="12" t="s">
        <v>69</v>
      </c>
      <c r="K253" s="5" t="s">
        <v>1319</v>
      </c>
    </row>
    <row r="254" ht="15.75" customHeight="1">
      <c r="A254" s="5" t="s">
        <v>414</v>
      </c>
      <c r="B254" s="7" t="s">
        <v>1320</v>
      </c>
      <c r="C254" s="5" t="s">
        <v>1321</v>
      </c>
      <c r="D254" s="7" t="s">
        <v>102</v>
      </c>
      <c r="E254" s="7" t="s">
        <v>104</v>
      </c>
      <c r="F254" s="5" t="s">
        <v>1322</v>
      </c>
      <c r="G254" s="7" t="s">
        <v>329</v>
      </c>
      <c r="H254" s="9" t="s">
        <v>336</v>
      </c>
      <c r="I254" s="11" t="s">
        <v>28</v>
      </c>
      <c r="J254" s="7"/>
      <c r="K254" s="5" t="s">
        <v>1323</v>
      </c>
    </row>
    <row r="255" ht="15.75" customHeight="1">
      <c r="A255" s="5" t="s">
        <v>414</v>
      </c>
      <c r="B255" s="7" t="s">
        <v>644</v>
      </c>
      <c r="C255" s="5" t="s">
        <v>645</v>
      </c>
      <c r="D255" s="7" t="s">
        <v>102</v>
      </c>
      <c r="E255" s="7" t="s">
        <v>104</v>
      </c>
      <c r="F255" s="5" t="s">
        <v>646</v>
      </c>
      <c r="G255" s="7" t="s">
        <v>418</v>
      </c>
      <c r="H255" s="9" t="s">
        <v>336</v>
      </c>
      <c r="I255" s="11" t="s">
        <v>28</v>
      </c>
      <c r="J255" s="12" t="s">
        <v>69</v>
      </c>
      <c r="K255" s="5" t="s">
        <v>1319</v>
      </c>
    </row>
    <row r="256" ht="15.75" customHeight="1">
      <c r="A256" s="5" t="s">
        <v>414</v>
      </c>
      <c r="B256" s="7" t="s">
        <v>1324</v>
      </c>
      <c r="C256" s="5" t="s">
        <v>1325</v>
      </c>
      <c r="D256" s="7" t="s">
        <v>55</v>
      </c>
      <c r="E256" s="7" t="s">
        <v>66</v>
      </c>
      <c r="F256" s="5" t="s">
        <v>1326</v>
      </c>
      <c r="G256" s="7" t="s">
        <v>418</v>
      </c>
      <c r="H256" s="9" t="s">
        <v>336</v>
      </c>
      <c r="I256" s="11" t="s">
        <v>28</v>
      </c>
      <c r="J256" s="7"/>
      <c r="K256" s="5" t="s">
        <v>1319</v>
      </c>
    </row>
    <row r="257" ht="15.75" customHeight="1">
      <c r="A257" s="5" t="s">
        <v>414</v>
      </c>
      <c r="B257" s="7" t="s">
        <v>1327</v>
      </c>
      <c r="C257" s="5" t="s">
        <v>1328</v>
      </c>
      <c r="D257" s="7" t="s">
        <v>55</v>
      </c>
      <c r="E257" s="7" t="s">
        <v>66</v>
      </c>
      <c r="F257" s="5" t="s">
        <v>1329</v>
      </c>
      <c r="G257" s="7" t="s">
        <v>418</v>
      </c>
      <c r="H257" s="9" t="s">
        <v>336</v>
      </c>
      <c r="I257" s="11" t="s">
        <v>28</v>
      </c>
      <c r="J257" s="7"/>
      <c r="K257" s="5" t="s">
        <v>1319</v>
      </c>
    </row>
    <row r="258" ht="15.75" customHeight="1">
      <c r="A258" s="5" t="s">
        <v>414</v>
      </c>
      <c r="B258" s="7" t="s">
        <v>1330</v>
      </c>
      <c r="C258" s="5" t="s">
        <v>1331</v>
      </c>
      <c r="D258" s="7" t="s">
        <v>102</v>
      </c>
      <c r="E258" s="7" t="s">
        <v>66</v>
      </c>
      <c r="F258" s="5" t="s">
        <v>1332</v>
      </c>
      <c r="G258" s="7" t="s">
        <v>418</v>
      </c>
      <c r="H258" s="9" t="s">
        <v>336</v>
      </c>
      <c r="I258" s="11" t="s">
        <v>28</v>
      </c>
      <c r="J258" s="7"/>
      <c r="K258" s="5" t="s">
        <v>1319</v>
      </c>
    </row>
    <row r="259" ht="15.75" customHeight="1">
      <c r="A259" s="5" t="s">
        <v>414</v>
      </c>
      <c r="B259" s="7" t="s">
        <v>1333</v>
      </c>
      <c r="C259" s="5" t="s">
        <v>1334</v>
      </c>
      <c r="D259" s="7" t="s">
        <v>55</v>
      </c>
      <c r="E259" s="7" t="s">
        <v>66</v>
      </c>
      <c r="F259" s="5" t="s">
        <v>1335</v>
      </c>
      <c r="G259" s="7" t="s">
        <v>418</v>
      </c>
      <c r="H259" s="9" t="s">
        <v>336</v>
      </c>
      <c r="I259" s="11" t="s">
        <v>28</v>
      </c>
      <c r="J259" s="7"/>
      <c r="K259" s="5" t="s">
        <v>1319</v>
      </c>
    </row>
    <row r="260" ht="15.75" customHeight="1">
      <c r="A260" s="5" t="s">
        <v>414</v>
      </c>
      <c r="B260" s="7" t="s">
        <v>1336</v>
      </c>
      <c r="C260" s="5" t="s">
        <v>1337</v>
      </c>
      <c r="D260" s="7" t="s">
        <v>102</v>
      </c>
      <c r="E260" s="7" t="s">
        <v>122</v>
      </c>
      <c r="F260" s="5" t="s">
        <v>1338</v>
      </c>
      <c r="G260" s="7" t="s">
        <v>418</v>
      </c>
      <c r="H260" s="9" t="s">
        <v>336</v>
      </c>
      <c r="I260" s="11" t="s">
        <v>28</v>
      </c>
      <c r="J260" s="7"/>
      <c r="K260" s="5" t="s">
        <v>1319</v>
      </c>
    </row>
    <row r="261" ht="15.75" customHeight="1">
      <c r="A261" s="5" t="s">
        <v>414</v>
      </c>
      <c r="B261" s="7" t="s">
        <v>1339</v>
      </c>
      <c r="C261" s="5" t="s">
        <v>1340</v>
      </c>
      <c r="D261" s="7" t="s">
        <v>102</v>
      </c>
      <c r="E261" s="7" t="s">
        <v>122</v>
      </c>
      <c r="F261" s="5" t="s">
        <v>1341</v>
      </c>
      <c r="G261" s="7" t="s">
        <v>418</v>
      </c>
      <c r="H261" s="9" t="s">
        <v>336</v>
      </c>
      <c r="I261" s="11" t="s">
        <v>28</v>
      </c>
      <c r="J261" s="7"/>
      <c r="K261" s="5" t="s">
        <v>1319</v>
      </c>
    </row>
    <row r="262" ht="15.75" customHeight="1">
      <c r="A262" s="5" t="s">
        <v>414</v>
      </c>
      <c r="B262" s="7" t="s">
        <v>1342</v>
      </c>
      <c r="C262" s="5" t="s">
        <v>1343</v>
      </c>
      <c r="D262" s="7" t="s">
        <v>102</v>
      </c>
      <c r="E262" s="7" t="s">
        <v>122</v>
      </c>
      <c r="F262" s="5" t="s">
        <v>1344</v>
      </c>
      <c r="G262" s="7" t="s">
        <v>418</v>
      </c>
      <c r="H262" s="9" t="s">
        <v>336</v>
      </c>
      <c r="I262" s="11" t="s">
        <v>28</v>
      </c>
      <c r="J262" s="7"/>
      <c r="K262" s="5" t="s">
        <v>1319</v>
      </c>
    </row>
    <row r="263" ht="15.75" customHeight="1">
      <c r="A263" s="5" t="s">
        <v>414</v>
      </c>
      <c r="B263" s="7" t="s">
        <v>1345</v>
      </c>
      <c r="C263" s="5" t="s">
        <v>1346</v>
      </c>
      <c r="D263" s="7" t="s">
        <v>55</v>
      </c>
      <c r="E263" s="7" t="s">
        <v>66</v>
      </c>
      <c r="F263" s="5" t="s">
        <v>1347</v>
      </c>
      <c r="G263" s="7" t="s">
        <v>418</v>
      </c>
      <c r="H263" s="9" t="s">
        <v>336</v>
      </c>
      <c r="I263" s="11" t="s">
        <v>28</v>
      </c>
      <c r="J263" s="7"/>
      <c r="K263" s="5" t="s">
        <v>1319</v>
      </c>
    </row>
    <row r="264" ht="15.75" customHeight="1">
      <c r="A264" s="5" t="s">
        <v>414</v>
      </c>
      <c r="B264" s="7" t="s">
        <v>651</v>
      </c>
      <c r="C264" s="5" t="s">
        <v>653</v>
      </c>
      <c r="D264" s="7" t="s">
        <v>102</v>
      </c>
      <c r="E264" s="7" t="s">
        <v>104</v>
      </c>
      <c r="F264" s="5" t="s">
        <v>656</v>
      </c>
      <c r="G264" s="7" t="s">
        <v>418</v>
      </c>
      <c r="H264" s="9" t="s">
        <v>336</v>
      </c>
      <c r="I264" s="11" t="s">
        <v>28</v>
      </c>
      <c r="J264" s="12" t="s">
        <v>69</v>
      </c>
      <c r="K264" s="5" t="s">
        <v>1319</v>
      </c>
    </row>
    <row r="265" ht="15.75" customHeight="1">
      <c r="A265" s="5" t="s">
        <v>414</v>
      </c>
      <c r="B265" s="7" t="s">
        <v>1348</v>
      </c>
      <c r="C265" s="5" t="s">
        <v>1349</v>
      </c>
      <c r="D265" s="7" t="s">
        <v>102</v>
      </c>
      <c r="E265" s="7" t="s">
        <v>122</v>
      </c>
      <c r="F265" s="5" t="s">
        <v>1350</v>
      </c>
      <c r="G265" s="7" t="s">
        <v>418</v>
      </c>
      <c r="H265" s="9" t="s">
        <v>336</v>
      </c>
      <c r="I265" s="11" t="s">
        <v>28</v>
      </c>
      <c r="J265" s="7"/>
      <c r="K265" s="5" t="s">
        <v>1319</v>
      </c>
    </row>
    <row r="266" ht="15.75" customHeight="1">
      <c r="A266" s="5" t="s">
        <v>481</v>
      </c>
      <c r="B266" s="7" t="s">
        <v>657</v>
      </c>
      <c r="C266" s="5" t="s">
        <v>658</v>
      </c>
      <c r="D266" s="7" t="s">
        <v>44</v>
      </c>
      <c r="E266" s="7" t="s">
        <v>45</v>
      </c>
      <c r="F266" s="5" t="s">
        <v>45</v>
      </c>
      <c r="G266" s="7" t="s">
        <v>195</v>
      </c>
      <c r="H266" s="9" t="s">
        <v>198</v>
      </c>
      <c r="I266" s="11" t="s">
        <v>28</v>
      </c>
      <c r="J266" s="12" t="s">
        <v>69</v>
      </c>
      <c r="K266" s="5" t="s">
        <v>1351</v>
      </c>
    </row>
    <row r="267" ht="15.75" customHeight="1">
      <c r="A267" s="5" t="inlineStr">
        <is>
          <t xml:space="preserve">C-6.1</t>
        </is>
      </c>
      <c r="B267" s="7" t="inlineStr">
        <is>
          <t xml:space="preserve">C-6.1-b</t>
        </is>
      </c>
      <c r="C267" s="5" t="inlineStr">
        <is>
          <t xml:space="preserve">Main content &lt; 50 words in RAW on a page that passed the A0 validity gate, AND the rendered DOM carries at least 3x the raw word count (minimum 50)</t>
        </is>
      </c>
      <c r="D267" s="7" t="inlineStr">
        <is>
          <t xml:space="preserve">FAIL</t>
        </is>
      </c>
      <c r="E267" s="7" t="inlineStr">
        <is>
          <t xml:space="preserve">CRITICAL</t>
        </is>
      </c>
      <c r="F267" s="5" t="inlineStr">
        <is>
          <t xml:space="preserve">RAW_CONTENT_ABSENT</t>
        </is>
      </c>
      <c r="G267" s="7" t="inlineStr">
        <is>
          <t xml:space="preserve">G9, TP</t>
        </is>
      </c>
      <c r="H267" s="9" t="inlineStr">
        <is>
          <t xml:space="preserve">https://developers.google.com/search/docs/crawling-indexing/javascript/javascript-seo-basics</t>
        </is>
      </c>
      <c r="I267" s="11" t="inlineStr">
        <is>
          <t xml:space="preserve">Google — documented</t>
        </is>
      </c>
      <c r="J267" s="12" t="inlineStr">
        <is>
          <t xml:space="preserve">Tool policy</t>
        </is>
      </c>
      <c r="K267" s="5" t="inlineStr">
        <is>
          <t xml:space="preserve">Both halves are required. The rule previously fired on the raw word count alone and asserted JavaScript gating whenever a rendered profile existed, without comparing the two — so a page with 8 words raw and 8 rendered was reported as JavaScript-gated. Google documents the raw/rendered distinction; the thresholds are tool policy.</t>
        </is>
      </c>
    </row>
    <row r="268" ht="15.75" customHeight="1">
      <c r="A268" s="5" t="s">
        <v>481</v>
      </c>
      <c r="B268" s="7" t="s">
        <v>665</v>
      </c>
      <c r="C268" s="5" t="s">
        <v>666</v>
      </c>
      <c r="D268" s="7" t="s">
        <v>102</v>
      </c>
      <c r="E268" s="7" t="s">
        <v>104</v>
      </c>
      <c r="F268" s="5" t="s">
        <v>667</v>
      </c>
      <c r="G268" s="7" t="s">
        <v>195</v>
      </c>
      <c r="H268" s="9" t="s">
        <v>198</v>
      </c>
      <c r="I268" s="11" t="s">
        <v>28</v>
      </c>
      <c r="J268" s="12" t="s">
        <v>69</v>
      </c>
      <c r="K268" s="5" t="s">
        <v>1351</v>
      </c>
    </row>
    <row r="269" ht="15.75" customHeight="1">
      <c r="A269" s="5" t="s">
        <v>481</v>
      </c>
      <c r="B269" s="7" t="s">
        <v>670</v>
      </c>
      <c r="C269" s="5" t="s">
        <v>671</v>
      </c>
      <c r="D269" s="7" t="s">
        <v>55</v>
      </c>
      <c r="E269" s="7" t="s">
        <v>66</v>
      </c>
      <c r="F269" s="5" t="s">
        <v>673</v>
      </c>
      <c r="G269" s="7" t="s">
        <v>195</v>
      </c>
      <c r="H269" s="9" t="s">
        <v>198</v>
      </c>
      <c r="I269" s="11" t="s">
        <v>28</v>
      </c>
      <c r="J269" s="12" t="s">
        <v>69</v>
      </c>
      <c r="K269" s="5" t="s">
        <v>1351</v>
      </c>
    </row>
    <row r="270" ht="15.75" customHeight="1">
      <c r="A270" s="5" t="s">
        <v>481</v>
      </c>
      <c r="B270" s="7" t="s">
        <v>675</v>
      </c>
      <c r="C270" s="5" t="s">
        <v>677</v>
      </c>
      <c r="D270" s="7" t="s">
        <v>102</v>
      </c>
      <c r="E270" s="7" t="s">
        <v>104</v>
      </c>
      <c r="F270" s="5" t="s">
        <v>679</v>
      </c>
      <c r="G270" s="7" t="s">
        <v>195</v>
      </c>
      <c r="H270" s="9" t="s">
        <v>198</v>
      </c>
      <c r="I270" s="11" t="s">
        <v>28</v>
      </c>
      <c r="J270" s="12" t="s">
        <v>69</v>
      </c>
      <c r="K270" s="5" t="s">
        <v>1351</v>
      </c>
    </row>
    <row r="271" ht="15.75" customHeight="1">
      <c r="A271" s="5" t="s">
        <v>481</v>
      </c>
      <c r="B271" s="7" t="s">
        <v>684</v>
      </c>
      <c r="C271" s="5" t="s">
        <v>685</v>
      </c>
      <c r="D271" s="7" t="s">
        <v>102</v>
      </c>
      <c r="E271" s="7" t="s">
        <v>104</v>
      </c>
      <c r="F271" s="5" t="s">
        <v>686</v>
      </c>
      <c r="G271" s="7" t="s">
        <v>195</v>
      </c>
      <c r="H271" s="9" t="s">
        <v>198</v>
      </c>
      <c r="I271" s="11" t="s">
        <v>28</v>
      </c>
      <c r="J271" s="12" t="s">
        <v>69</v>
      </c>
      <c r="K271" s="5" t="s">
        <v>1351</v>
      </c>
    </row>
    <row r="272" ht="15.75" customHeight="1">
      <c r="A272" s="5" t="s">
        <v>481</v>
      </c>
      <c r="B272" s="7" t="s">
        <v>688</v>
      </c>
      <c r="C272" s="5" t="s">
        <v>689</v>
      </c>
      <c r="D272" s="7" t="s">
        <v>55</v>
      </c>
      <c r="E272" s="7" t="s">
        <v>66</v>
      </c>
      <c r="F272" s="5" t="s">
        <v>690</v>
      </c>
      <c r="G272" s="7" t="s">
        <v>195</v>
      </c>
      <c r="H272" s="9" t="s">
        <v>198</v>
      </c>
      <c r="I272" s="11" t="s">
        <v>28</v>
      </c>
      <c r="J272" s="12" t="s">
        <v>69</v>
      </c>
      <c r="K272" s="5" t="s">
        <v>1351</v>
      </c>
    </row>
    <row r="273" ht="15.75" customHeight="1">
      <c r="A273" s="5" t="s">
        <v>481</v>
      </c>
      <c r="B273" s="7" t="s">
        <v>1352</v>
      </c>
      <c r="C273" s="5" t="s">
        <v>1353</v>
      </c>
      <c r="D273" s="7" t="s">
        <v>102</v>
      </c>
      <c r="E273" s="7" t="s">
        <v>66</v>
      </c>
      <c r="F273" s="5" t="s">
        <v>1354</v>
      </c>
      <c r="G273" s="7" t="s">
        <v>195</v>
      </c>
      <c r="H273" s="9" t="s">
        <v>198</v>
      </c>
      <c r="I273" s="11" t="s">
        <v>28</v>
      </c>
      <c r="J273" s="7"/>
      <c r="K273" s="5" t="s">
        <v>1351</v>
      </c>
    </row>
    <row r="274" ht="15.75" customHeight="1">
      <c r="A274" s="5" t="s">
        <v>481</v>
      </c>
      <c r="B274" s="7" t="s">
        <v>1355</v>
      </c>
      <c r="C274" s="5" t="s">
        <v>1356</v>
      </c>
      <c r="D274" s="7" t="s">
        <v>102</v>
      </c>
      <c r="E274" s="7" t="s">
        <v>104</v>
      </c>
      <c r="F274" s="5" t="s">
        <v>1357</v>
      </c>
      <c r="G274" s="7" t="s">
        <v>195</v>
      </c>
      <c r="H274" s="9" t="s">
        <v>198</v>
      </c>
      <c r="I274" s="11" t="s">
        <v>28</v>
      </c>
      <c r="J274" s="7"/>
      <c r="K274" s="5" t="s">
        <v>1351</v>
      </c>
    </row>
    <row r="275" ht="15.75" customHeight="1">
      <c r="A275" s="5" t="s">
        <v>481</v>
      </c>
      <c r="B275" s="7" t="s">
        <v>1358</v>
      </c>
      <c r="C275" s="5" t="s">
        <v>1359</v>
      </c>
      <c r="D275" s="7" t="s">
        <v>55</v>
      </c>
      <c r="E275" s="7" t="s">
        <v>66</v>
      </c>
      <c r="F275" s="5" t="s">
        <v>1360</v>
      </c>
      <c r="G275" s="7" t="s">
        <v>195</v>
      </c>
      <c r="H275" s="9" t="s">
        <v>198</v>
      </c>
      <c r="I275" s="11" t="s">
        <v>28</v>
      </c>
      <c r="J275" s="7"/>
      <c r="K275" s="5" t="s">
        <v>1351</v>
      </c>
    </row>
    <row r="276" ht="15.75" customHeight="1">
      <c r="A276" s="5" t="s">
        <v>481</v>
      </c>
      <c r="B276" s="7" t="s">
        <v>1361</v>
      </c>
      <c r="C276" s="5" t="s">
        <v>1362</v>
      </c>
      <c r="D276" s="7" t="s">
        <v>102</v>
      </c>
      <c r="E276" s="7" t="s">
        <v>104</v>
      </c>
      <c r="F276" s="5" t="s">
        <v>1363</v>
      </c>
      <c r="G276" s="7" t="s">
        <v>195</v>
      </c>
      <c r="H276" s="9" t="s">
        <v>198</v>
      </c>
      <c r="I276" s="11" t="s">
        <v>28</v>
      </c>
      <c r="J276" s="7"/>
      <c r="K276" s="5" t="s">
        <v>1351</v>
      </c>
    </row>
    <row r="277" ht="15.75" customHeight="1">
      <c r="A277" s="5" t="s">
        <v>481</v>
      </c>
      <c r="B277" s="7" t="s">
        <v>693</v>
      </c>
      <c r="C277" s="5" t="s">
        <v>694</v>
      </c>
      <c r="D277" s="7" t="s">
        <v>102</v>
      </c>
      <c r="E277" s="7" t="s">
        <v>122</v>
      </c>
      <c r="F277" s="5" t="s">
        <v>695</v>
      </c>
      <c r="G277" s="7" t="s">
        <v>195</v>
      </c>
      <c r="H277" s="9" t="s">
        <v>198</v>
      </c>
      <c r="I277" s="11" t="s">
        <v>28</v>
      </c>
      <c r="J277" s="12" t="s">
        <v>69</v>
      </c>
      <c r="K277" s="5" t="s">
        <v>1351</v>
      </c>
    </row>
    <row r="278" ht="15.75" customHeight="1">
      <c r="A278" s="5" t="s">
        <v>481</v>
      </c>
      <c r="B278" s="7" t="s">
        <v>1364</v>
      </c>
      <c r="C278" s="5" t="s">
        <v>1365</v>
      </c>
      <c r="D278" s="7" t="s">
        <v>44</v>
      </c>
      <c r="E278" s="7" t="s">
        <v>45</v>
      </c>
      <c r="F278" s="5" t="s">
        <v>1366</v>
      </c>
      <c r="G278" s="7" t="s">
        <v>195</v>
      </c>
      <c r="H278" s="9" t="s">
        <v>198</v>
      </c>
      <c r="I278" s="11" t="s">
        <v>28</v>
      </c>
      <c r="J278" s="7"/>
      <c r="K278" s="5" t="s">
        <v>1351</v>
      </c>
    </row>
    <row r="279" ht="15.75" customHeight="1">
      <c r="A279" s="5" t="s">
        <v>481</v>
      </c>
      <c r="B279" s="7" t="s">
        <v>1367</v>
      </c>
      <c r="C279" s="5" t="s">
        <v>1368</v>
      </c>
      <c r="D279" s="7" t="s">
        <v>102</v>
      </c>
      <c r="E279" s="7" t="s">
        <v>66</v>
      </c>
      <c r="F279" s="5" t="s">
        <v>1369</v>
      </c>
      <c r="G279" s="7" t="s">
        <v>195</v>
      </c>
      <c r="H279" s="9" t="s">
        <v>198</v>
      </c>
      <c r="I279" s="11" t="s">
        <v>28</v>
      </c>
      <c r="J279" s="7"/>
      <c r="K279" s="5" t="s">
        <v>1351</v>
      </c>
    </row>
    <row r="280" ht="15.75" customHeight="1">
      <c r="A280" s="5" t="s">
        <v>481</v>
      </c>
      <c r="B280" s="7" t="s">
        <v>1370</v>
      </c>
      <c r="C280" s="5" t="s">
        <v>1371</v>
      </c>
      <c r="D280" s="7" t="s">
        <v>175</v>
      </c>
      <c r="E280" s="7" t="s">
        <v>45</v>
      </c>
      <c r="F280" s="5" t="s">
        <v>1372</v>
      </c>
      <c r="G280" s="7" t="s">
        <v>195</v>
      </c>
      <c r="H280" s="9" t="s">
        <v>198</v>
      </c>
      <c r="I280" s="11" t="s">
        <v>28</v>
      </c>
      <c r="J280" s="7"/>
      <c r="K280" s="5" t="s">
        <v>1351</v>
      </c>
    </row>
    <row r="281" ht="15.75" customHeight="1">
      <c r="A281" s="5" t="s">
        <v>501</v>
      </c>
      <c r="B281" s="7" t="s">
        <v>697</v>
      </c>
      <c r="C281" s="5" t="s">
        <v>699</v>
      </c>
      <c r="D281" s="7" t="s">
        <v>44</v>
      </c>
      <c r="E281" s="7" t="s">
        <v>45</v>
      </c>
      <c r="F281" s="5" t="s">
        <v>45</v>
      </c>
      <c r="G281" s="7" t="s">
        <v>505</v>
      </c>
      <c r="H281" s="9" t="s">
        <v>253</v>
      </c>
      <c r="I281" s="11" t="s">
        <v>28</v>
      </c>
      <c r="J281" s="12" t="s">
        <v>69</v>
      </c>
      <c r="K281" s="5" t="s">
        <v>1373</v>
      </c>
    </row>
    <row r="282" ht="15.75" customHeight="1">
      <c r="A282" s="5" t="s">
        <v>501</v>
      </c>
      <c r="B282" s="7" t="s">
        <v>1374</v>
      </c>
      <c r="C282" s="5" t="s">
        <v>1375</v>
      </c>
      <c r="D282" s="7" t="s">
        <v>55</v>
      </c>
      <c r="E282" s="7" t="s">
        <v>66</v>
      </c>
      <c r="F282" s="5" t="s">
        <v>1376</v>
      </c>
      <c r="G282" s="7" t="s">
        <v>505</v>
      </c>
      <c r="H282" s="9" t="s">
        <v>253</v>
      </c>
      <c r="I282" s="11" t="s">
        <v>28</v>
      </c>
      <c r="J282" s="7"/>
      <c r="K282" s="5" t="s">
        <v>1373</v>
      </c>
    </row>
    <row r="283" ht="15.75" customHeight="1">
      <c r="A283" s="5" t="s">
        <v>501</v>
      </c>
      <c r="B283" s="7" t="s">
        <v>1377</v>
      </c>
      <c r="C283" s="5" t="s">
        <v>1378</v>
      </c>
      <c r="D283" s="7" t="s">
        <v>102</v>
      </c>
      <c r="E283" s="7" t="s">
        <v>104</v>
      </c>
      <c r="F283" s="5" t="s">
        <v>1379</v>
      </c>
      <c r="G283" s="7" t="s">
        <v>505</v>
      </c>
      <c r="H283" s="9" t="s">
        <v>253</v>
      </c>
      <c r="I283" s="11" t="s">
        <v>28</v>
      </c>
      <c r="J283" s="7"/>
      <c r="K283" s="5" t="s">
        <v>1373</v>
      </c>
    </row>
    <row r="284" ht="15.75" customHeight="1">
      <c r="A284" s="5" t="s">
        <v>501</v>
      </c>
      <c r="B284" s="7" t="s">
        <v>1380</v>
      </c>
      <c r="C284" s="5" t="s">
        <v>1381</v>
      </c>
      <c r="D284" s="7" t="s">
        <v>55</v>
      </c>
      <c r="E284" s="7" t="s">
        <v>66</v>
      </c>
      <c r="F284" s="5" t="s">
        <v>1382</v>
      </c>
      <c r="G284" s="7" t="s">
        <v>505</v>
      </c>
      <c r="H284" s="9" t="s">
        <v>253</v>
      </c>
      <c r="I284" s="11" t="s">
        <v>28</v>
      </c>
      <c r="J284" s="7"/>
      <c r="K284" s="5" t="s">
        <v>1373</v>
      </c>
    </row>
    <row r="285" ht="15.75" customHeight="1">
      <c r="A285" s="5" t="s">
        <v>501</v>
      </c>
      <c r="B285" s="7" t="s">
        <v>1383</v>
      </c>
      <c r="C285" s="5" t="s">
        <v>1384</v>
      </c>
      <c r="D285" s="7" t="s">
        <v>102</v>
      </c>
      <c r="E285" s="7" t="s">
        <v>104</v>
      </c>
      <c r="F285" s="5" t="s">
        <v>1385</v>
      </c>
      <c r="G285" s="7" t="s">
        <v>505</v>
      </c>
      <c r="H285" s="9" t="s">
        <v>253</v>
      </c>
      <c r="I285" s="11" t="s">
        <v>28</v>
      </c>
      <c r="J285" s="7"/>
      <c r="K285" s="5" t="s">
        <v>1373</v>
      </c>
    </row>
    <row r="286" ht="15.75" customHeight="1">
      <c r="A286" s="5" t="s">
        <v>501</v>
      </c>
      <c r="B286" s="7" t="s">
        <v>1386</v>
      </c>
      <c r="C286" s="5" t="s">
        <v>1387</v>
      </c>
      <c r="D286" s="7" t="s">
        <v>102</v>
      </c>
      <c r="E286" s="7" t="s">
        <v>122</v>
      </c>
      <c r="F286" s="5" t="s">
        <v>1388</v>
      </c>
      <c r="G286" s="7" t="s">
        <v>505</v>
      </c>
      <c r="H286" s="9" t="s">
        <v>253</v>
      </c>
      <c r="I286" s="11" t="s">
        <v>28</v>
      </c>
      <c r="J286" s="7"/>
      <c r="K286" s="5" t="s">
        <v>1373</v>
      </c>
    </row>
    <row r="287" ht="15.75" customHeight="1">
      <c r="A287" s="5" t="s">
        <v>501</v>
      </c>
      <c r="B287" s="7" t="s">
        <v>707</v>
      </c>
      <c r="C287" s="5" t="s">
        <v>708</v>
      </c>
      <c r="D287" s="7" t="s">
        <v>102</v>
      </c>
      <c r="E287" s="7" t="s">
        <v>104</v>
      </c>
      <c r="F287" s="5" t="s">
        <v>709</v>
      </c>
      <c r="G287" s="7" t="s">
        <v>505</v>
      </c>
      <c r="H287" s="9" t="s">
        <v>253</v>
      </c>
      <c r="I287" s="11" t="s">
        <v>28</v>
      </c>
      <c r="J287" s="12" t="s">
        <v>69</v>
      </c>
      <c r="K287" s="5" t="s">
        <v>1373</v>
      </c>
    </row>
    <row r="288" ht="15.75" customHeight="1">
      <c r="A288" s="5" t="s">
        <v>501</v>
      </c>
      <c r="B288" s="7" t="s">
        <v>710</v>
      </c>
      <c r="C288" s="5" t="s">
        <v>711</v>
      </c>
      <c r="D288" s="7" t="s">
        <v>1389</v>
      </c>
      <c r="E288" s="7" t="s">
        <v>45</v>
      </c>
      <c r="F288" s="5" t="s">
        <v>712</v>
      </c>
      <c r="G288" s="7" t="s">
        <v>505</v>
      </c>
      <c r="H288" s="9" t="s">
        <v>253</v>
      </c>
      <c r="I288" s="11" t="s">
        <v>28</v>
      </c>
      <c r="J288" s="12" t="s">
        <v>69</v>
      </c>
      <c r="K288" s="5" t="s">
        <v>1373</v>
      </c>
    </row>
    <row r="289" ht="15.75" customHeight="1">
      <c r="A289" s="5" t="s">
        <v>545</v>
      </c>
      <c r="B289" s="7" t="s">
        <v>713</v>
      </c>
      <c r="C289" s="5" t="s">
        <v>714</v>
      </c>
      <c r="D289" s="7" t="s">
        <v>44</v>
      </c>
      <c r="E289" s="7" t="s">
        <v>45</v>
      </c>
      <c r="F289" s="5" t="s">
        <v>45</v>
      </c>
      <c r="G289" s="7" t="s">
        <v>157</v>
      </c>
      <c r="H289" s="5" t="s">
        <v>158</v>
      </c>
      <c r="I289" s="20" t="s">
        <v>106</v>
      </c>
      <c r="J289" s="12" t="s">
        <v>69</v>
      </c>
      <c r="K289" s="5" t="s">
        <v>715</v>
      </c>
    </row>
    <row r="290" ht="15.75" customHeight="1">
      <c r="A290" s="5" t="s">
        <v>545</v>
      </c>
      <c r="B290" s="7" t="s">
        <v>716</v>
      </c>
      <c r="C290" s="5" t="s">
        <v>717</v>
      </c>
      <c r="D290" s="7" t="s">
        <v>55</v>
      </c>
      <c r="E290" s="7" t="s">
        <v>66</v>
      </c>
      <c r="F290" s="5" t="s">
        <v>718</v>
      </c>
      <c r="G290" s="7" t="s">
        <v>157</v>
      </c>
      <c r="H290" s="5" t="s">
        <v>158</v>
      </c>
      <c r="I290" s="20" t="s">
        <v>106</v>
      </c>
      <c r="J290" s="12" t="s">
        <v>69</v>
      </c>
      <c r="K290" s="5" t="s">
        <v>715</v>
      </c>
    </row>
    <row r="291" ht="15.75" customHeight="1">
      <c r="A291" s="5" t="s">
        <v>545</v>
      </c>
      <c r="B291" s="7" t="s">
        <v>722</v>
      </c>
      <c r="C291" s="5" t="s">
        <v>724</v>
      </c>
      <c r="D291" s="7" t="s">
        <v>55</v>
      </c>
      <c r="E291" s="7" t="s">
        <v>66</v>
      </c>
      <c r="F291" s="5" t="s">
        <v>727</v>
      </c>
      <c r="G291" s="7" t="s">
        <v>157</v>
      </c>
      <c r="H291" s="5" t="s">
        <v>158</v>
      </c>
      <c r="I291" s="20" t="s">
        <v>106</v>
      </c>
      <c r="J291" s="12" t="s">
        <v>69</v>
      </c>
      <c r="K291" s="5" t="s">
        <v>715</v>
      </c>
    </row>
    <row r="292" ht="15.75" customHeight="1">
      <c r="A292" s="5" t="s">
        <v>545</v>
      </c>
      <c r="B292" s="7" t="s">
        <v>730</v>
      </c>
      <c r="C292" s="5" t="s">
        <v>731</v>
      </c>
      <c r="D292" s="7" t="s">
        <v>102</v>
      </c>
      <c r="E292" s="7" t="s">
        <v>104</v>
      </c>
      <c r="F292" s="5" t="s">
        <v>733</v>
      </c>
      <c r="G292" s="7" t="s">
        <v>157</v>
      </c>
      <c r="H292" s="5" t="s">
        <v>158</v>
      </c>
      <c r="I292" s="20" t="s">
        <v>106</v>
      </c>
      <c r="J292" s="12" t="s">
        <v>69</v>
      </c>
      <c r="K292" s="5" t="s">
        <v>715</v>
      </c>
    </row>
    <row r="293" ht="15.75" customHeight="1">
      <c r="A293" s="5" t="s">
        <v>545</v>
      </c>
      <c r="B293" s="7" t="s">
        <v>734</v>
      </c>
      <c r="C293" s="5" t="s">
        <v>735</v>
      </c>
      <c r="D293" s="7" t="s">
        <v>102</v>
      </c>
      <c r="E293" s="7" t="s">
        <v>104</v>
      </c>
      <c r="F293" s="5" t="s">
        <v>737</v>
      </c>
      <c r="G293" s="7" t="s">
        <v>157</v>
      </c>
      <c r="H293" s="5" t="s">
        <v>158</v>
      </c>
      <c r="I293" s="20" t="s">
        <v>106</v>
      </c>
      <c r="J293" s="12" t="s">
        <v>69</v>
      </c>
      <c r="K293" s="5" t="s">
        <v>715</v>
      </c>
    </row>
    <row r="294" ht="15.75" customHeight="1">
      <c r="A294" s="5" t="s">
        <v>545</v>
      </c>
      <c r="B294" s="7" t="s">
        <v>740</v>
      </c>
      <c r="C294" s="5" t="s">
        <v>741</v>
      </c>
      <c r="D294" s="7" t="s">
        <v>102</v>
      </c>
      <c r="E294" s="7" t="s">
        <v>122</v>
      </c>
      <c r="F294" s="5" t="s">
        <v>743</v>
      </c>
      <c r="G294" s="7" t="s">
        <v>157</v>
      </c>
      <c r="H294" s="5" t="s">
        <v>158</v>
      </c>
      <c r="I294" s="20" t="s">
        <v>106</v>
      </c>
      <c r="J294" s="12" t="s">
        <v>69</v>
      </c>
      <c r="K294" s="5" t="s">
        <v>715</v>
      </c>
    </row>
    <row r="295" ht="15.75" customHeight="1">
      <c r="A295" s="5" t="s">
        <v>545</v>
      </c>
      <c r="B295" s="7" t="s">
        <v>744</v>
      </c>
      <c r="C295" s="5" t="s">
        <v>745</v>
      </c>
      <c r="D295" s="7" t="s">
        <v>102</v>
      </c>
      <c r="E295" s="7" t="s">
        <v>104</v>
      </c>
      <c r="F295" s="5" t="s">
        <v>746</v>
      </c>
      <c r="G295" s="7" t="s">
        <v>157</v>
      </c>
      <c r="H295" s="5" t="s">
        <v>158</v>
      </c>
      <c r="I295" s="20" t="s">
        <v>106</v>
      </c>
      <c r="J295" s="12" t="s">
        <v>69</v>
      </c>
      <c r="K295" s="5" t="s">
        <v>715</v>
      </c>
    </row>
    <row r="296" ht="15.75" customHeight="1">
      <c r="A296" s="5" t="s">
        <v>545</v>
      </c>
      <c r="B296" s="7" t="s">
        <v>748</v>
      </c>
      <c r="C296" s="5" t="s">
        <v>749</v>
      </c>
      <c r="D296" s="7" t="s">
        <v>102</v>
      </c>
      <c r="E296" s="7" t="s">
        <v>122</v>
      </c>
      <c r="F296" s="5" t="s">
        <v>751</v>
      </c>
      <c r="G296" s="7" t="s">
        <v>157</v>
      </c>
      <c r="H296" s="5" t="s">
        <v>158</v>
      </c>
      <c r="I296" s="20" t="s">
        <v>106</v>
      </c>
      <c r="J296" s="7"/>
      <c r="K296" s="5" t="s">
        <v>715</v>
      </c>
    </row>
    <row r="297" ht="15.75" customHeight="1">
      <c r="A297" s="5" t="s">
        <v>545</v>
      </c>
      <c r="B297" s="7" t="s">
        <v>753</v>
      </c>
      <c r="C297" s="5" t="s">
        <v>755</v>
      </c>
      <c r="D297" s="7" t="s">
        <v>102</v>
      </c>
      <c r="E297" s="7" t="s">
        <v>122</v>
      </c>
      <c r="F297" s="5" t="s">
        <v>757</v>
      </c>
      <c r="G297" s="7" t="s">
        <v>157</v>
      </c>
      <c r="H297" s="5" t="s">
        <v>158</v>
      </c>
      <c r="I297" s="20" t="s">
        <v>106</v>
      </c>
      <c r="J297" s="7"/>
      <c r="K297" s="5" t="s">
        <v>715</v>
      </c>
    </row>
    <row r="298" ht="15.75" customHeight="1">
      <c r="A298" s="5" t="s">
        <v>545</v>
      </c>
      <c r="B298" s="7" t="s">
        <v>759</v>
      </c>
      <c r="C298" s="5" t="s">
        <v>761</v>
      </c>
      <c r="D298" s="7" t="s">
        <v>102</v>
      </c>
      <c r="E298" s="7" t="s">
        <v>122</v>
      </c>
      <c r="F298" s="5" t="s">
        <v>763</v>
      </c>
      <c r="G298" s="7" t="s">
        <v>157</v>
      </c>
      <c r="H298" s="5" t="s">
        <v>158</v>
      </c>
      <c r="I298" s="20" t="s">
        <v>106</v>
      </c>
      <c r="J298" s="12" t="s">
        <v>69</v>
      </c>
      <c r="K298" s="5" t="s">
        <v>715</v>
      </c>
    </row>
    <row r="299" ht="15.75" customHeight="1">
      <c r="A299" s="5" t="s">
        <v>545</v>
      </c>
      <c r="B299" s="7" t="s">
        <v>767</v>
      </c>
      <c r="C299" s="5" t="s">
        <v>768</v>
      </c>
      <c r="D299" s="7" t="s">
        <v>1006</v>
      </c>
      <c r="E299" s="7" t="s">
        <v>45</v>
      </c>
      <c r="F299" s="5" t="s">
        <v>769</v>
      </c>
      <c r="G299" s="7" t="s">
        <v>157</v>
      </c>
      <c r="H299" s="5" t="s">
        <v>158</v>
      </c>
      <c r="I299" s="20" t="s">
        <v>106</v>
      </c>
      <c r="J299" s="12" t="s">
        <v>69</v>
      </c>
      <c r="K299" s="5" t="s">
        <v>715</v>
      </c>
    </row>
    <row r="300" ht="15.75" customHeight="1">
      <c r="A300" s="5" t="s">
        <v>561</v>
      </c>
      <c r="B300" s="7" t="s">
        <v>772</v>
      </c>
      <c r="C300" s="5" t="s">
        <v>774</v>
      </c>
      <c r="D300" s="7" t="s">
        <v>44</v>
      </c>
      <c r="E300" s="7" t="s">
        <v>45</v>
      </c>
      <c r="F300" s="5" t="s">
        <v>45</v>
      </c>
      <c r="G300" s="7" t="s">
        <v>571</v>
      </c>
      <c r="H300" s="9" t="s">
        <v>336</v>
      </c>
      <c r="I300" s="11" t="s">
        <v>28</v>
      </c>
      <c r="J300" s="12" t="s">
        <v>69</v>
      </c>
      <c r="K300" s="5" t="s">
        <v>1390</v>
      </c>
    </row>
    <row r="301" ht="15.75" customHeight="1">
      <c r="A301" s="5" t="s">
        <v>561</v>
      </c>
      <c r="B301" s="7" t="s">
        <v>777</v>
      </c>
      <c r="C301" s="5" t="s">
        <v>780</v>
      </c>
      <c r="D301" s="7" t="s">
        <v>55</v>
      </c>
      <c r="E301" s="7" t="s">
        <v>66</v>
      </c>
      <c r="F301" s="5" t="s">
        <v>783</v>
      </c>
      <c r="G301" s="7" t="s">
        <v>571</v>
      </c>
      <c r="H301" s="9" t="s">
        <v>336</v>
      </c>
      <c r="I301" s="11" t="s">
        <v>28</v>
      </c>
      <c r="J301" s="12" t="s">
        <v>69</v>
      </c>
      <c r="K301" s="5" t="s">
        <v>1390</v>
      </c>
    </row>
    <row r="302" ht="15.75" customHeight="1">
      <c r="A302" s="5" t="s">
        <v>561</v>
      </c>
      <c r="B302" s="7" t="s">
        <v>785</v>
      </c>
      <c r="C302" s="5" t="s">
        <v>786</v>
      </c>
      <c r="D302" s="7" t="s">
        <v>102</v>
      </c>
      <c r="E302" s="7" t="s">
        <v>104</v>
      </c>
      <c r="F302" s="5" t="s">
        <v>787</v>
      </c>
      <c r="G302" s="7" t="s">
        <v>571</v>
      </c>
      <c r="H302" s="9" t="s">
        <v>336</v>
      </c>
      <c r="I302" s="11" t="s">
        <v>28</v>
      </c>
      <c r="J302" s="12" t="s">
        <v>69</v>
      </c>
      <c r="K302" s="5" t="s">
        <v>1390</v>
      </c>
    </row>
    <row r="303" ht="15.75" customHeight="1">
      <c r="A303" s="5" t="s">
        <v>561</v>
      </c>
      <c r="B303" s="7" t="s">
        <v>1391</v>
      </c>
      <c r="C303" s="5" t="s">
        <v>1392</v>
      </c>
      <c r="D303" s="7" t="s">
        <v>102</v>
      </c>
      <c r="E303" s="7" t="s">
        <v>104</v>
      </c>
      <c r="F303" s="5" t="s">
        <v>1393</v>
      </c>
      <c r="G303" s="7" t="s">
        <v>571</v>
      </c>
      <c r="H303" s="9" t="s">
        <v>336</v>
      </c>
      <c r="I303" s="11" t="s">
        <v>28</v>
      </c>
      <c r="J303" s="7"/>
      <c r="K303" s="5" t="s">
        <v>1390</v>
      </c>
    </row>
    <row r="304" ht="15.75" customHeight="1">
      <c r="A304" s="5" t="s">
        <v>561</v>
      </c>
      <c r="B304" s="7" t="s">
        <v>1394</v>
      </c>
      <c r="C304" s="5" t="s">
        <v>1395</v>
      </c>
      <c r="D304" s="7" t="s">
        <v>102</v>
      </c>
      <c r="E304" s="7" t="s">
        <v>104</v>
      </c>
      <c r="F304" s="5" t="s">
        <v>1396</v>
      </c>
      <c r="G304" s="7" t="s">
        <v>571</v>
      </c>
      <c r="H304" s="9" t="s">
        <v>336</v>
      </c>
      <c r="I304" s="11" t="s">
        <v>28</v>
      </c>
      <c r="J304" s="7"/>
      <c r="K304" s="5" t="s">
        <v>1390</v>
      </c>
    </row>
    <row r="305" ht="15.75" customHeight="1">
      <c r="A305" s="5" t="s">
        <v>561</v>
      </c>
      <c r="B305" s="7" t="s">
        <v>788</v>
      </c>
      <c r="C305" s="5" t="s">
        <v>790</v>
      </c>
      <c r="D305" s="7" t="s">
        <v>102</v>
      </c>
      <c r="E305" s="7" t="s">
        <v>122</v>
      </c>
      <c r="F305" s="5" t="s">
        <v>792</v>
      </c>
      <c r="G305" s="7" t="s">
        <v>571</v>
      </c>
      <c r="H305" s="9" t="s">
        <v>336</v>
      </c>
      <c r="I305" s="11" t="s">
        <v>28</v>
      </c>
      <c r="J305" s="12" t="s">
        <v>69</v>
      </c>
      <c r="K305" s="5" t="s">
        <v>1390</v>
      </c>
    </row>
    <row r="306" ht="15.75" customHeight="1">
      <c r="A306" s="5" t="s">
        <v>561</v>
      </c>
      <c r="B306" s="7" t="s">
        <v>1397</v>
      </c>
      <c r="C306" s="5" t="s">
        <v>1398</v>
      </c>
      <c r="D306" s="7" t="s">
        <v>102</v>
      </c>
      <c r="E306" s="7" t="s">
        <v>104</v>
      </c>
      <c r="F306" s="5" t="s">
        <v>1399</v>
      </c>
      <c r="G306" s="7" t="s">
        <v>571</v>
      </c>
      <c r="H306" s="9" t="s">
        <v>336</v>
      </c>
      <c r="I306" s="11" t="s">
        <v>28</v>
      </c>
      <c r="J306" s="7"/>
      <c r="K306" s="5" t="s">
        <v>1390</v>
      </c>
    </row>
    <row r="307" ht="15.75" customHeight="1">
      <c r="A307" s="5" t="s">
        <v>561</v>
      </c>
      <c r="B307" s="7" t="s">
        <v>793</v>
      </c>
      <c r="C307" s="5" t="s">
        <v>795</v>
      </c>
      <c r="D307" s="7" t="s">
        <v>102</v>
      </c>
      <c r="E307" s="7" t="s">
        <v>122</v>
      </c>
      <c r="F307" s="5" t="s">
        <v>796</v>
      </c>
      <c r="G307" s="7" t="s">
        <v>571</v>
      </c>
      <c r="H307" s="9" t="s">
        <v>336</v>
      </c>
      <c r="I307" s="11" t="s">
        <v>28</v>
      </c>
      <c r="J307" s="12" t="s">
        <v>69</v>
      </c>
      <c r="K307" s="5" t="s">
        <v>1390</v>
      </c>
    </row>
    <row r="308" ht="15.75" customHeight="1">
      <c r="A308" s="5" t="s">
        <v>561</v>
      </c>
      <c r="B308" s="7" t="s">
        <v>798</v>
      </c>
      <c r="C308" s="5" t="s">
        <v>800</v>
      </c>
      <c r="D308" s="7" t="s">
        <v>102</v>
      </c>
      <c r="E308" s="7" t="s">
        <v>104</v>
      </c>
      <c r="F308" s="5" t="s">
        <v>804</v>
      </c>
      <c r="G308" s="7" t="s">
        <v>571</v>
      </c>
      <c r="H308" s="9" t="s">
        <v>336</v>
      </c>
      <c r="I308" s="11" t="s">
        <v>28</v>
      </c>
      <c r="J308" s="12" t="s">
        <v>69</v>
      </c>
      <c r="K308" s="5" t="s">
        <v>1390</v>
      </c>
    </row>
    <row r="309" ht="15.75" customHeight="1">
      <c r="A309" s="5" t="s">
        <v>561</v>
      </c>
      <c r="B309" s="7" t="s">
        <v>807</v>
      </c>
      <c r="C309" s="5" t="s">
        <v>808</v>
      </c>
      <c r="D309" s="7" t="s">
        <v>1006</v>
      </c>
      <c r="E309" s="7" t="s">
        <v>45</v>
      </c>
      <c r="F309" s="5" t="s">
        <v>809</v>
      </c>
      <c r="G309" s="7" t="s">
        <v>571</v>
      </c>
      <c r="H309" s="9" t="s">
        <v>336</v>
      </c>
      <c r="I309" s="11" t="s">
        <v>28</v>
      </c>
      <c r="J309" s="12" t="s">
        <v>69</v>
      </c>
      <c r="K309" s="5" t="s">
        <v>1390</v>
      </c>
    </row>
    <row r="310" ht="15.75" customHeight="1">
      <c r="A310" s="5" t="s">
        <v>561</v>
      </c>
      <c r="B310" s="7" t="s">
        <v>810</v>
      </c>
      <c r="C310" s="5" t="s">
        <v>711</v>
      </c>
      <c r="D310" s="7" t="s">
        <v>1400</v>
      </c>
      <c r="E310" s="7" t="s">
        <v>45</v>
      </c>
      <c r="F310" s="5" t="s">
        <v>812</v>
      </c>
      <c r="G310" s="7" t="s">
        <v>571</v>
      </c>
      <c r="H310" s="9" t="s">
        <v>336</v>
      </c>
      <c r="I310" s="11" t="s">
        <v>28</v>
      </c>
      <c r="J310" s="12" t="s">
        <v>69</v>
      </c>
      <c r="K310" s="5" t="s">
        <v>1390</v>
      </c>
    </row>
    <row r="311" ht="15.75" customHeight="1">
      <c r="A311" s="5" t="s">
        <v>581</v>
      </c>
      <c r="B311" s="7" t="s">
        <v>815</v>
      </c>
      <c r="C311" s="5" t="s">
        <v>816</v>
      </c>
      <c r="D311" s="7" t="s">
        <v>44</v>
      </c>
      <c r="E311" s="7" t="s">
        <v>45</v>
      </c>
      <c r="F311" s="5" t="s">
        <v>45</v>
      </c>
      <c r="G311" s="7" t="s">
        <v>586</v>
      </c>
      <c r="H311" s="9" t="s">
        <v>238</v>
      </c>
      <c r="I311" s="11" t="s">
        <v>28</v>
      </c>
      <c r="J311" s="12" t="s">
        <v>69</v>
      </c>
      <c r="K311" s="5" t="s">
        <v>1401</v>
      </c>
    </row>
    <row r="312" ht="15.75" customHeight="1">
      <c r="A312" s="5" t="s">
        <v>581</v>
      </c>
      <c r="B312" s="7" t="s">
        <v>1402</v>
      </c>
      <c r="C312" s="5" t="s">
        <v>1403</v>
      </c>
      <c r="D312" s="7" t="s">
        <v>102</v>
      </c>
      <c r="E312" s="7" t="s">
        <v>104</v>
      </c>
      <c r="F312" s="5" t="s">
        <v>1404</v>
      </c>
      <c r="G312" s="7" t="s">
        <v>586</v>
      </c>
      <c r="H312" s="9" t="s">
        <v>238</v>
      </c>
      <c r="I312" s="11" t="s">
        <v>28</v>
      </c>
      <c r="J312" s="7"/>
      <c r="K312" s="5" t="s">
        <v>1401</v>
      </c>
    </row>
    <row r="313" ht="15.75" customHeight="1">
      <c r="A313" s="5" t="s">
        <v>581</v>
      </c>
      <c r="B313" s="7" t="s">
        <v>1405</v>
      </c>
      <c r="C313" s="5" t="s">
        <v>1406</v>
      </c>
      <c r="D313" s="7" t="s">
        <v>55</v>
      </c>
      <c r="E313" s="7" t="s">
        <v>104</v>
      </c>
      <c r="F313" s="5" t="s">
        <v>1407</v>
      </c>
      <c r="G313" s="7" t="s">
        <v>586</v>
      </c>
      <c r="H313" s="9" t="s">
        <v>238</v>
      </c>
      <c r="I313" s="11" t="s">
        <v>28</v>
      </c>
      <c r="J313" s="7"/>
      <c r="K313" s="5" t="s">
        <v>1401</v>
      </c>
    </row>
    <row r="314" ht="15.75" customHeight="1">
      <c r="A314" s="5" t="s">
        <v>581</v>
      </c>
      <c r="B314" s="7" t="s">
        <v>1408</v>
      </c>
      <c r="C314" s="5" t="s">
        <v>1409</v>
      </c>
      <c r="D314" s="7" t="s">
        <v>55</v>
      </c>
      <c r="E314" s="7" t="s">
        <v>104</v>
      </c>
      <c r="F314" s="5" t="s">
        <v>1410</v>
      </c>
      <c r="G314" s="7" t="s">
        <v>586</v>
      </c>
      <c r="H314" s="9" t="s">
        <v>238</v>
      </c>
      <c r="I314" s="11" t="s">
        <v>28</v>
      </c>
      <c r="J314" s="7"/>
      <c r="K314" s="5" t="s">
        <v>1401</v>
      </c>
    </row>
    <row r="315" ht="15.75" customHeight="1">
      <c r="A315" s="5" t="s">
        <v>581</v>
      </c>
      <c r="B315" s="7" t="s">
        <v>1411</v>
      </c>
      <c r="C315" s="5" t="s">
        <v>1412</v>
      </c>
      <c r="D315" s="7" t="s">
        <v>55</v>
      </c>
      <c r="E315" s="7" t="s">
        <v>122</v>
      </c>
      <c r="F315" s="5" t="s">
        <v>1413</v>
      </c>
      <c r="G315" s="7" t="s">
        <v>586</v>
      </c>
      <c r="H315" s="9" t="s">
        <v>238</v>
      </c>
      <c r="I315" s="11" t="s">
        <v>28</v>
      </c>
      <c r="J315" s="7"/>
      <c r="K315" s="5" t="s">
        <v>1401</v>
      </c>
    </row>
    <row r="316" ht="15.75" customHeight="1">
      <c r="A316" s="5" t="s">
        <v>581</v>
      </c>
      <c r="B316" s="7" t="s">
        <v>817</v>
      </c>
      <c r="C316" s="5" t="s">
        <v>819</v>
      </c>
      <c r="D316" s="7" t="s">
        <v>102</v>
      </c>
      <c r="E316" s="7" t="s">
        <v>66</v>
      </c>
      <c r="F316" s="5" t="s">
        <v>821</v>
      </c>
      <c r="G316" s="7" t="s">
        <v>586</v>
      </c>
      <c r="H316" s="9" t="s">
        <v>238</v>
      </c>
      <c r="I316" s="11" t="s">
        <v>28</v>
      </c>
      <c r="J316" s="12" t="s">
        <v>69</v>
      </c>
      <c r="K316" s="5" t="s">
        <v>1401</v>
      </c>
    </row>
    <row r="317" ht="15.75" customHeight="1">
      <c r="A317" s="5" t="s">
        <v>581</v>
      </c>
      <c r="B317" s="7" t="s">
        <v>825</v>
      </c>
      <c r="C317" s="5" t="s">
        <v>826</v>
      </c>
      <c r="D317" s="7" t="s">
        <v>102</v>
      </c>
      <c r="E317" s="7" t="s">
        <v>104</v>
      </c>
      <c r="F317" s="5" t="s">
        <v>828</v>
      </c>
      <c r="G317" s="7" t="s">
        <v>157</v>
      </c>
      <c r="H317" s="5" t="s">
        <v>158</v>
      </c>
      <c r="I317" s="20" t="s">
        <v>106</v>
      </c>
      <c r="J317" s="12" t="s">
        <v>69</v>
      </c>
      <c r="K317" s="5" t="s">
        <v>830</v>
      </c>
    </row>
    <row r="318" ht="15.75" customHeight="1">
      <c r="A318" s="5" t="s">
        <v>581</v>
      </c>
      <c r="B318" s="7" t="s">
        <v>831</v>
      </c>
      <c r="C318" s="5" t="s">
        <v>833</v>
      </c>
      <c r="D318" s="7" t="s">
        <v>102</v>
      </c>
      <c r="E318" s="7" t="s">
        <v>122</v>
      </c>
      <c r="F318" s="5" t="s">
        <v>835</v>
      </c>
      <c r="G318" s="7" t="s">
        <v>157</v>
      </c>
      <c r="H318" s="5" t="s">
        <v>158</v>
      </c>
      <c r="I318" s="20" t="s">
        <v>106</v>
      </c>
      <c r="J318" s="12" t="s">
        <v>69</v>
      </c>
      <c r="K318" s="5" t="s">
        <v>836</v>
      </c>
    </row>
    <row r="319" ht="15.75" customHeight="1">
      <c r="A319" s="5" t="s">
        <v>581</v>
      </c>
      <c r="B319" s="7" t="s">
        <v>838</v>
      </c>
      <c r="C319" s="5" t="s">
        <v>839</v>
      </c>
      <c r="D319" s="7" t="s">
        <v>102</v>
      </c>
      <c r="E319" s="7" t="s">
        <v>104</v>
      </c>
      <c r="F319" s="5" t="s">
        <v>840</v>
      </c>
      <c r="G319" s="7" t="s">
        <v>586</v>
      </c>
      <c r="H319" s="9" t="s">
        <v>238</v>
      </c>
      <c r="I319" s="11" t="s">
        <v>28</v>
      </c>
      <c r="J319" s="12" t="s">
        <v>69</v>
      </c>
      <c r="K319" s="5" t="s">
        <v>1401</v>
      </c>
    </row>
    <row r="320" ht="15.75" customHeight="1">
      <c r="A320" s="5" t="s">
        <v>581</v>
      </c>
      <c r="B320" s="7" t="s">
        <v>841</v>
      </c>
      <c r="C320" s="5" t="s">
        <v>842</v>
      </c>
      <c r="D320" s="7" t="s">
        <v>102</v>
      </c>
      <c r="E320" s="7" t="s">
        <v>104</v>
      </c>
      <c r="F320" s="5" t="s">
        <v>844</v>
      </c>
      <c r="G320" s="7" t="s">
        <v>586</v>
      </c>
      <c r="H320" s="9" t="s">
        <v>238</v>
      </c>
      <c r="I320" s="11" t="s">
        <v>28</v>
      </c>
      <c r="J320" s="12" t="s">
        <v>69</v>
      </c>
      <c r="K320" s="5" t="s">
        <v>1401</v>
      </c>
    </row>
    <row r="321" ht="15.75" customHeight="1">
      <c r="A321" s="5" t="s">
        <v>581</v>
      </c>
      <c r="B321" s="7" t="s">
        <v>1414</v>
      </c>
      <c r="C321" s="5" t="s">
        <v>1415</v>
      </c>
      <c r="D321" s="7" t="s">
        <v>1006</v>
      </c>
      <c r="E321" s="7" t="s">
        <v>45</v>
      </c>
      <c r="F321" s="5" t="s">
        <v>1416</v>
      </c>
      <c r="G321" s="7" t="s">
        <v>586</v>
      </c>
      <c r="H321" s="9" t="s">
        <v>238</v>
      </c>
      <c r="I321" s="11" t="s">
        <v>28</v>
      </c>
      <c r="J321" s="7"/>
      <c r="K321" s="5" t="s">
        <v>1401</v>
      </c>
    </row>
    <row r="322" ht="15.75" customHeight="1">
      <c r="A322" s="5" t="s">
        <v>581</v>
      </c>
      <c r="B322" s="7" t="s">
        <v>847</v>
      </c>
      <c r="C322" s="5" t="s">
        <v>849</v>
      </c>
      <c r="D322" s="7" t="s">
        <v>102</v>
      </c>
      <c r="E322" s="7" t="s">
        <v>104</v>
      </c>
      <c r="F322" s="5" t="s">
        <v>852</v>
      </c>
      <c r="G322" s="7" t="s">
        <v>586</v>
      </c>
      <c r="H322" s="9" t="s">
        <v>238</v>
      </c>
      <c r="I322" s="11" t="s">
        <v>28</v>
      </c>
      <c r="J322" s="12" t="s">
        <v>69</v>
      </c>
      <c r="K322" s="5" t="s">
        <v>1401</v>
      </c>
    </row>
    <row r="323" ht="15.75" customHeight="1">
      <c r="A323" s="5" t="s">
        <v>581</v>
      </c>
      <c r="B323" s="7" t="s">
        <v>857</v>
      </c>
      <c r="C323" s="5" t="s">
        <v>711</v>
      </c>
      <c r="D323" s="7" t="s">
        <v>1417</v>
      </c>
      <c r="E323" s="7" t="s">
        <v>45</v>
      </c>
      <c r="F323" s="5" t="s">
        <v>859</v>
      </c>
      <c r="G323" s="7" t="s">
        <v>586</v>
      </c>
      <c r="H323" s="9" t="s">
        <v>238</v>
      </c>
      <c r="I323" s="11" t="s">
        <v>28</v>
      </c>
      <c r="J323" s="12" t="s">
        <v>69</v>
      </c>
      <c r="K323" s="5" t="s">
        <v>1401</v>
      </c>
    </row>
    <row r="33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324" ht="15.75" customHeight="1">
      <c r="A324" s="5" t="inlineStr">
        <is>
          <t xml:space="preserve">C-1.1</t>
        </is>
      </c>
      <c r="B324" s="7" t="inlineStr">
        <is>
          <t xml:space="preserve">C-1.1-l</t>
        </is>
      </c>
      <c r="C324" s="5" t="inlineStr">
        <is>
          <t xml:space="preserve">Disallow: / applies to Googlebot on a host the operator declared as staging (env = staging)</t>
        </is>
      </c>
      <c r="D324" s="7" t="inlineStr">
        <is>
          <t xml:space="preserve">WARN</t>
        </is>
      </c>
      <c r="E324" s="7" t="inlineStr">
        <is>
          <t xml:space="preserve">LOW</t>
        </is>
      </c>
      <c r="F324" s="5" t="inlineStr">
        <is>
          <t xml:space="preserve">STAGING_BLOCK_EXPECTED</t>
        </is>
      </c>
      <c r="G324" s="7" t="inlineStr">
        <is>
          <t xml:space="preserve">G1, G1b</t>
        </is>
      </c>
      <c r="H324" s="9" t="inlineStr">
        <is>
          <t xml:space="preserve">https://developers.google.com/search/docs/crawling-indexing/robots/robots_txt</t>
        </is>
      </c>
      <c r="I324" s="11" t="inlineStr">
        <is>
          <t xml:space="preserve">Google — documented</t>
        </is>
      </c>
      <c r="J324" s="12" t="inlineStr">
        <is>
          <t xml:space="preserve">Tool policy</t>
        </is>
      </c>
      <c r="K324" s="5" t="inlineStr">
        <is>
          <t xml:space="preserve">E-1.1-12. The directive is read exactly as the Google specification documents it. That a sitewide block is expected here is operator-supplied context, not something any source can establish, so the downgrade from CRITICAL is tool policy.</t>
        </is>
      </c>
    </row>
    <row r="326" ht="15.75" customHeight="1">
      <c r="A326" s="5" t="inlineStr">
        <is>
          <t xml:space="preserve">C-1.3</t>
        </is>
      </c>
      <c r="B326" s="7" t="inlineStr">
        <is>
          <t xml:space="preserve">C-1.3-s</t>
        </is>
      </c>
      <c r="C326" s="5" t="inlineStr">
        <is>
          <t xml:space="preserve">HTTP 503 accompanied by a Retry-After header</t>
        </is>
      </c>
      <c r="D326" s="7" t="inlineStr">
        <is>
          <t xml:space="preserve">WARN</t>
        </is>
      </c>
      <c r="E326" s="7" t="inlineStr">
        <is>
          <t xml:space="preserve">MEDIUM</t>
        </is>
      </c>
      <c r="F326" s="5" t="inlineStr">
        <is>
          <t xml:space="preserve">MAINTENANCE_MODE</t>
        </is>
      </c>
      <c r="G326" s="7" t="inlineStr">
        <is>
          <t xml:space="preserve">G2</t>
        </is>
      </c>
      <c r="H326" s="9" t="inlineStr">
        <is>
          <t xml:space="preserve">https://developers.google.com/search/docs/crawling-indexing/http-network-errors</t>
        </is>
      </c>
      <c r="I326" s="11" t="inlineStr">
        <is>
          <t xml:space="preserve">Google — documented</t>
        </is>
      </c>
      <c r="J326" s="12" t="inlineStr">
        <is>
          <t xml:space="preserve">Tool policy</t>
        </is>
      </c>
      <c r="K326" s="5" t="inlineStr">
        <is>
          <t xml:space="preserve">E-1.3-3. Google documents 503 with Retry-After as the correct way to signal temporary unavailability, so it is not scored as a server error. Whether the maintenance is intentional is not observable.</t>
        </is>
      </c>
    </row>
    <row r="327" ht="15.75" customHeight="1">
      <c r="A327" s="5" t="inlineStr">
        <is>
          <t xml:space="preserve">C-1.4</t>
        </is>
      </c>
      <c r="B327" s="7" t="inlineStr">
        <is>
          <t xml:space="preserve">C-1.4-p</t>
        </is>
      </c>
      <c r="C327" s="5" t="inlineStr">
        <is>
          <t xml:space="preserve">Both the trailing-slash and the no-slash form return 2xx and neither redirects to the other</t>
        </is>
      </c>
      <c r="D327" s="7" t="inlineStr">
        <is>
          <t xml:space="preserve">FAIL</t>
        </is>
      </c>
      <c r="E327" s="7" t="inlineStr">
        <is>
          <t xml:space="preserve">HIGH</t>
        </is>
      </c>
      <c r="F327" s="5" t="inlineStr">
        <is>
          <t xml:space="preserve">TRAILING_SLASH_BOTH_LIVE</t>
        </is>
      </c>
      <c r="G327" s="7" t="inlineStr">
        <is>
          <t xml:space="preserve">G7, G2</t>
        </is>
      </c>
      <c r="H327" s="9" t="inlineStr">
        <is>
          <t xml:space="preserve">https://developers.google.com/search/docs/crawling-indexing/consolidate-duplicate-urls</t>
        </is>
      </c>
      <c r="I327" s="11" t="inlineStr">
        <is>
          <t xml:space="preserve">Google — documented</t>
        </is>
      </c>
      <c r="J327" s="12" t="inlineStr">
        <is>
          <t xml:space="preserve">Tool policy</t>
        </is>
      </c>
      <c r="K327" s="5" t="inlineStr">
        <is>
          <t xml:space="preserve">Operator rule, added after a live audit. Google documents that the same content reachable at several URLs must be consolidated to one canonical form; the document does not assign a severity, so FAIL/HIGH is tool policy.</t>
        </is>
      </c>
    </row>
    <row r="328" ht="15.75" customHeight="1">
      <c r="A328" s="5" t="inlineStr">
        <is>
          <t xml:space="preserve">C-1.5</t>
        </is>
      </c>
      <c r="B328" s="7" t="inlineStr">
        <is>
          <t xml:space="preserve">C-1.5-u</t>
        </is>
      </c>
      <c r="C328" s="5" t="inlineStr">
        <is>
          <t xml:space="preserve">More than one link[rel=canonical] in &lt;head&gt;, all carrying the same value</t>
        </is>
      </c>
      <c r="D328" s="7" t="inlineStr">
        <is>
          <t xml:space="preserve">WARN</t>
        </is>
      </c>
      <c r="E328" s="7" t="inlineStr">
        <is>
          <t xml:space="preserve">LOW</t>
        </is>
      </c>
      <c r="F328" s="5" t="inlineStr">
        <is>
          <t xml:space="preserve">CANONICAL_DUPLICATED_IDENTICAL</t>
        </is>
      </c>
      <c r="G328" s="7" t="inlineStr">
        <is>
          <t xml:space="preserve">G7</t>
        </is>
      </c>
      <c r="H328" s="9" t="inlineStr">
        <is>
          <t xml:space="preserve">https://developers.google.com/search/docs/crawling-indexing/consolidate-duplicate-urls</t>
        </is>
      </c>
      <c r="I328" s="11" t="inlineStr">
        <is>
          <t xml:space="preserve">Google — documented</t>
        </is>
      </c>
      <c r="J328" s="12" t="inlineStr">
        <is>
          <t xml:space="preserve">Tool policy</t>
        </is>
      </c>
      <c r="K328" s="5" t="inlineStr">
        <is>
          <t xml:space="preserve">E-1.5-6. Google documents that conflicting canonicals may all be ignored; duplicates that agree are unambiguous, so this is a tidiness warning and not the conflicting-canonical failure.</t>
        </is>
      </c>
    </row>
    <row r="329" ht="15.75" customHeight="1">
      <c r="A329" s="5" t="inlineStr">
        <is>
          <t xml:space="preserve">C-1.6</t>
        </is>
      </c>
      <c r="B329" s="7" t="inlineStr">
        <is>
          <t xml:space="preserve">C-1.6-o</t>
        </is>
      </c>
      <c r="C329" s="5" t="inlineStr">
        <is>
          <t xml:space="preserve">Effective noindex for Googlebot on a host the operator declared as staging (env = staging)</t>
        </is>
      </c>
      <c r="D329" s="7" t="inlineStr">
        <is>
          <t xml:space="preserve">WARN</t>
        </is>
      </c>
      <c r="E329" s="7" t="inlineStr">
        <is>
          <t xml:space="preserve">LOW</t>
        </is>
      </c>
      <c r="F329" s="5" t="inlineStr">
        <is>
          <t xml:space="preserve">STAGING_NOINDEX_EXPECTED</t>
        </is>
      </c>
      <c r="G329" s="7" t="inlineStr">
        <is>
          <t xml:space="preserve">G8</t>
        </is>
      </c>
      <c r="H329" s="9" t="inlineStr">
        <is>
          <t xml:space="preserve">https://developers.google.com/search/docs/crawling-indexing/robots-meta-tag</t>
        </is>
      </c>
      <c r="I329" s="11" t="inlineStr">
        <is>
          <t xml:space="preserve">Google — documented</t>
        </is>
      </c>
      <c r="J329" s="12" t="inlineStr">
        <is>
          <t xml:space="preserve">Tool policy</t>
        </is>
      </c>
      <c r="K329" s="5" t="inlineStr">
        <is>
          <t xml:space="preserve">E-1.6-8. The directive is read as documented. That noindex is expected on staging is operator-supplied context, so the downgrade from CRITICAL is tool policy.</t>
        </is>
      </c>
    </row>
    <row r="330" ht="15.75" customHeight="1">
      <c r="A330" s="5" t="inlineStr">
        <is>
          <t xml:space="preserve">C-1.6</t>
        </is>
      </c>
      <c r="B330" s="7" t="inlineStr">
        <is>
          <t xml:space="preserve">C-1.6-p</t>
        </is>
      </c>
      <c r="C330" s="5" t="inlineStr">
        <is>
          <t xml:space="preserve">A meta robots element appears inside &lt;noscript&gt;</t>
        </is>
      </c>
      <c r="D330" s="7" t="inlineStr">
        <is>
          <t xml:space="preserve">WARN</t>
        </is>
      </c>
      <c r="E330" s="7" t="inlineStr">
        <is>
          <t xml:space="preserve">HIGH</t>
        </is>
      </c>
      <c r="F330" s="5" t="inlineStr">
        <is>
          <t xml:space="preserve">META_ROBOTS_IN_NOSCRIPT</t>
        </is>
      </c>
      <c r="G330" s="7" t="inlineStr">
        <is>
          <t xml:space="preserve">G8</t>
        </is>
      </c>
      <c r="H330" s="9" t="inlineStr">
        <is>
          <t xml:space="preserve">https://developers.google.com/search/docs/crawling-indexing/robots-meta-tag</t>
        </is>
      </c>
      <c r="I330" s="11" t="inlineStr">
        <is>
          <t xml:space="preserve">Google — documented</t>
        </is>
      </c>
      <c r="J330" s="12" t="inlineStr">
        <is>
          <t xml:space="preserve">Tool policy</t>
        </is>
      </c>
      <c r="K330" s="5" t="inlineStr">
        <is>
          <t xml:space="preserve">E-1.6-10. Google documents where robots meta tags are honoured; it does not document behaviour inside &lt;noscript&gt;, which is why the finding reports inconsistency rather than asserting a specific outcome.</t>
        </is>
      </c>
    </row>
    <row r="331" ht="15.75" customHeight="1">
      <c r="A331" s="5" t="inlineStr">
        <is>
          <t xml:space="preserve">C-3.2</t>
        </is>
      </c>
      <c r="B331" s="7" t="inlineStr">
        <is>
          <t xml:space="preserve">C-3.2-t</t>
        </is>
      </c>
      <c r="C331" s="5" t="inlineStr">
        <is>
          <t xml:space="preserve">Exactly one weak multilingual signal observed and no hreflang annotations present</t>
        </is>
      </c>
      <c r="D331" s="7" t="inlineStr">
        <is>
          <t xml:space="preserve">WARN</t>
        </is>
      </c>
      <c r="E331" s="7" t="inlineStr">
        <is>
          <t xml:space="preserve">MEDIUM</t>
        </is>
      </c>
      <c r="F331" s="5" t="inlineStr">
        <is>
          <t xml:space="preserve">HREFLANG_POSSIBLY_MISSING</t>
        </is>
      </c>
      <c r="G331" s="7" t="inlineStr">
        <is>
          <t xml:space="preserve">G10</t>
        </is>
      </c>
      <c r="H331" s="9" t="inlineStr">
        <is>
          <t xml:space="preserve">https://developers.google.com/search/docs/specialty/international/localized-versions</t>
        </is>
      </c>
      <c r="I331" s="11" t="inlineStr">
        <is>
          <t xml:space="preserve">Google — documented</t>
        </is>
      </c>
      <c r="J331" s="12" t="inlineStr">
        <is>
          <t xml:space="preserve">Tool policy</t>
        </is>
      </c>
      <c r="K331" s="5" t="inlineStr">
        <is>
          <t xml:space="preserve">B-3.2-3. Advisory only: a single weak signal is not evidence that the site is multilingual, so this never reaches the hreflang-absent failure.</t>
        </is>
      </c>
    </row>
    <row r="332" ht="15.75" customHeight="1">
      <c r="A332" s="5" t="inlineStr">
        <is>
          <t xml:space="preserve">C-5.3</t>
        </is>
      </c>
      <c r="B332" s="7" t="inlineStr">
        <is>
          <t xml:space="preserve">C-5.3-o</t>
        </is>
      </c>
      <c r="C332" s="5" t="inlineStr">
        <is>
          <t xml:space="preserve">llms.txt is a flat list of URLs with no H2 sections and no descriptions</t>
        </is>
      </c>
      <c r="D332" s="7" t="inlineStr">
        <is>
          <t xml:space="preserve">WARN</t>
        </is>
      </c>
      <c r="E332" s="7" t="inlineStr">
        <is>
          <t xml:space="preserve">LOW</t>
        </is>
      </c>
      <c r="F332" s="5" t="inlineStr">
        <is>
          <t xml:space="preserve">LLMS_TXT_SITEMAP_CLONE</t>
        </is>
      </c>
      <c r="G332" s="7" t="inlineStr">
        <is>
          <t xml:space="preserve">L1, G16</t>
        </is>
      </c>
      <c r="H332" s="9" t="inlineStr">
        <is>
          <t xml:space="preserve">https://llmstxt.org/</t>
        </is>
      </c>
      <c r="I332" s="11" t="inlineStr">
        <is>
          <t xml:space="preserve">Proposed — not adopted</t>
        </is>
      </c>
      <c r="J332" s="12" t="inlineStr">
        <is>
          <t xml:space="preserve">Tool policy</t>
        </is>
      </c>
      <c r="K332" s="5" t="inlineStr">
        <is>
          <t xml:space="preserve">The file conforms to the proposed specification, which requires only an H1. That a flat URL list is low value is a judgement this tool makes, not a requirement of the specification — and llms.txt is not adopted by any search engine.</t>
        </is>
      </c>
    </row>
    <row r="333" ht="15.75" customHeight="1">
      <c r="A333" s="5" t="inlineStr">
        <is>
          <t xml:space="preserve">C-1.2</t>
        </is>
      </c>
      <c r="B333" s="7" t="inlineStr">
        <is>
          <t xml:space="preserve">C-1.2-j</t>
        </is>
      </c>
      <c r="C333" s="5" t="inlineStr">
        <is>
          <t xml:space="preserve">A declared sitemap is unavailable on every variant, while another declared or standard-location parent sitemap returns 200</t>
        </is>
      </c>
      <c r="D333" s="7" t="inlineStr">
        <is>
          <t xml:space="preserve">WARN</t>
        </is>
      </c>
      <c r="E333" s="7" t="inlineStr">
        <is>
          <t xml:space="preserve">MEDIUM</t>
        </is>
      </c>
      <c r="F333" s="5" t="inlineStr">
        <is>
          <t xml:space="preserve">SITEMAP_PARTIALLY_BROKEN</t>
        </is>
      </c>
      <c r="G333" s="7" t="inlineStr">
        <is>
          <t xml:space="preserve">G5, G2</t>
        </is>
      </c>
      <c r="H333" s="9" t="inlineStr">
        <is>
          <t xml:space="preserve">https://developers.google.com/search/docs/crawling-indexing/sitemaps/build-sitemap</t>
        </is>
      </c>
      <c r="I333" s="11" t="inlineStr">
        <is>
          <t xml:space="preserve">Google — documented</t>
        </is>
      </c>
      <c r="J333" s="12" t="inlineStr">
        <is>
          <t xml:space="preserve">Tool policy</t>
        </is>
      </c>
      <c r="K333" s="5" t="inlineStr">
        <is>
          <t xml:space="preserve">The sitemap setup works, but robots.txt advertises a URL that is not there. Usable, so not a failure; misleading, so not silent.</t>
        </is>
      </c>
    </row>
    <row r="334" ht="15.75" customHeight="1">
      <c r="A334" s="5" t="inlineStr">
        <is>
          <t xml:space="preserve">X-1.8</t>
        </is>
      </c>
      <c r="B334" s="7" t="inlineStr">
        <is>
          <t xml:space="preserve">X-1.8-a</t>
        </is>
      </c>
      <c r="C334" s="5" t="inlineStr">
        <is>
          <t xml:space="preserve">A site: query for the canonical host returns at least one organic result belonging to that host</t>
        </is>
      </c>
      <c r="D334" s="7" t="inlineStr">
        <is>
          <t xml:space="preserve">PASS</t>
        </is>
      </c>
      <c r="E334" s="7" t="inlineStr">
        <is>
          <t xml:space="preserve">—</t>
        </is>
      </c>
      <c r="F334" s="5" t="inlineStr">
        <is>
          <t xml:space="preserve">—</t>
        </is>
      </c>
      <c r="G334" s="7" t="inlineStr">
        <is>
          <t xml:space="preserve">GSO, CLR</t>
        </is>
      </c>
      <c r="H334" s="9" t="inlineStr">
        <is>
          <t xml:space="preserve">https://support.google.com/websearch/answer/2466433</t>
        </is>
      </c>
      <c r="I334" s="11" t="inlineStr">
        <is>
          <t xml:space="preserve">Google — documented</t>
        </is>
      </c>
      <c r="J334" s="12" t="inlineStr">
        <is>
          <t xml:space="preserve">Tool policy</t>
        </is>
      </c>
      <c r="K334" s="5" t="inlineStr">
        <is>
          <t xml:space="preserve">Google documents the site: operator. That a non-empty result set means the domain is present in the index follows directly; how much of it is present does not, and is not claimed.</t>
        </is>
      </c>
    </row>
    <row r="335" ht="15.75" customHeight="1">
      <c r="A335" s="5" t="inlineStr">
        <is>
          <t xml:space="preserve">X-1.8</t>
        </is>
      </c>
      <c r="B335" s="7" t="inlineStr">
        <is>
          <t xml:space="preserve">X-1.8-b</t>
        </is>
      </c>
      <c r="C335" s="5" t="inlineStr">
        <is>
          <t xml:space="preserve">A site: query for the canonical host returns no organic result belonging to that host</t>
        </is>
      </c>
      <c r="D335" s="7" t="inlineStr">
        <is>
          <t xml:space="preserve">WARN</t>
        </is>
      </c>
      <c r="E335" s="7" t="inlineStr">
        <is>
          <t xml:space="preserve">HIGH</t>
        </is>
      </c>
      <c r="F335" s="5" t="inlineStr">
        <is>
          <t xml:space="preserve">SITE_NOT_IN_INDEX</t>
        </is>
      </c>
      <c r="G335" s="7" t="inlineStr">
        <is>
          <t xml:space="preserve">GSO, GSC</t>
        </is>
      </c>
      <c r="H335" s="9" t="inlineStr">
        <is>
          <t xml:space="preserve">https://support.google.com/websearch/answer/2466433</t>
        </is>
      </c>
      <c r="I335" s="11" t="inlineStr">
        <is>
          <t xml:space="preserve">Google — documented</t>
        </is>
      </c>
      <c r="J335" s="12" t="inlineStr">
        <is>
          <t xml:space="preserve">Tool policy</t>
        </is>
      </c>
      <c r="K335" s="5" t="inlineStr">
        <is>
          <t xml:space="preserve">The factor is marked advisory in the catalogue, so this never enters a score. A site: query samples what Google will show for one operator whose counts Google itself calls estimates; it is not an index report and not a test of crawler access. Worth surfacing — an empty result is a strong prompt to check Search Console — but not something that should move a score it cannot support.</t>
        </is>
      </c>
    </row>
    <row r="336" ht="15.75" customHeight="1">
      <c r="A336" s="5" t="inlineStr">
        <is>
          <t xml:space="preserve">X-1.8</t>
        </is>
      </c>
      <c r="B336" s="7" t="inlineStr">
        <is>
          <t xml:space="preserve">X-1.8-c</t>
        </is>
      </c>
      <c r="C336" s="5" t="inlineStr">
        <is>
          <t xml:space="preserve">The SERP lookup could not be completed: no key, key rejected, quota exhausted, timeout, or cap.serp_api = false</t>
        </is>
      </c>
      <c r="D336" s="7" t="inlineStr">
        <is>
          <t xml:space="preserve">NOT_TESTABLE</t>
        </is>
      </c>
      <c r="E336" s="7" t="inlineStr">
        <is>
          <t xml:space="preserve">—</t>
        </is>
      </c>
      <c r="F336" s="5" t="inlineStr">
        <is>
          <t xml:space="preserve">SERP_LOOKUP_UNAVAILABLE</t>
        </is>
      </c>
      <c r="G336" s="7" t="inlineStr">
        <is>
          <t xml:space="preserve">GSO, CLR</t>
        </is>
      </c>
      <c r="H336" s="9" t="inlineStr">
        <is>
          <t xml:space="preserve">https://support.google.com/websearch/answer/2466433</t>
        </is>
      </c>
      <c r="I336" s="11" t="inlineStr">
        <is>
          <t xml:space="preserve">Google — documented</t>
        </is>
      </c>
      <c r="J336" s="12" t="inlineStr">
        <is>
          <t xml:space="preserve">Tool policy</t>
        </is>
      </c>
      <c r="K336" s="5" t="inlineStr">
        <is>
          <t xml:space="preserve">Inherits the factor-level source. A lookup the tool could not complete says nothing about the site, so the result is excluded from the score rather than reported as absence.</t>
        </is>
      </c>
    </row>
    <row r="338" ht="15.75" customHeight="1">
      <c r="A338" s="5" t="inlineStr">
        <is>
          <t xml:space="preserve">C-1.2</t>
        </is>
      </c>
      <c r="B338" s="7" t="inlineStr">
        <is>
          <t xml:space="preserve">C-1.2-k</t>
        </is>
      </c>
      <c r="C338" s="5" t="inlineStr">
        <is>
          <t xml:space="preserve">A sitemap endpoint responds but never reaches a successful response: a 5xx, or a redirect chain that resolves to a 4xx</t>
        </is>
      </c>
      <c r="D338" s="7" t="inlineStr">
        <is>
          <t xml:space="preserve">FAIL</t>
        </is>
      </c>
      <c r="E338" s="7" t="inlineStr">
        <is>
          <t xml:space="preserve">HIGH</t>
        </is>
      </c>
      <c r="F338" s="5" t="inlineStr">
        <is>
          <t xml:space="preserve">SITEMAP_UNAVAILABLE</t>
        </is>
      </c>
      <c r="G338" s="7" t="inlineStr">
        <is>
          <t xml:space="preserve">G5, G2</t>
        </is>
      </c>
      <c r="H338" s="9" t="inlineStr">
        <is>
          <t xml:space="preserve">https://developers.google.com/search/docs/crawling-indexing/sitemaps/build-sitemap</t>
        </is>
      </c>
      <c r="I338" s="11" t="inlineStr">
        <is>
          <t xml:space="preserve">Google — documented</t>
        </is>
      </c>
      <c r="J338" s="12" t="inlineStr">
        <is>
          <t xml:space="preserve">Tool policy</t>
        </is>
      </c>
      <c r="K338" s="5" t="inlineStr">
        <is>
          <t xml:space="preserve">Distinct from "not found". A clean 404 at a standard location means no sitemap is published there, which is only a warning. An endpoint that answers and then fails is a sitemap that exists and does not serve.</t>
        </is>
      </c>
    </row>
    <row r="339" ht="15.75" customHeight="1">
      <c r="A339" s="5" t="inlineStr">
        <is>
          <t xml:space="preserve">C-6.1</t>
        </is>
      </c>
      <c r="B339" s="7" t="inlineStr">
        <is>
          <t xml:space="preserve">C-6.1-p</t>
        </is>
      </c>
      <c r="C339" s="5" t="inlineStr">
        <is>
          <t xml:space="preserve">Main content &lt; 50 words in RAW on a page that passed the A0 validity gate, and rendering does not materially increase it</t>
        </is>
      </c>
      <c r="D339" s="7" t="inlineStr">
        <is>
          <t xml:space="preserve">WARN</t>
        </is>
      </c>
      <c r="E339" s="7" t="inlineStr">
        <is>
          <t xml:space="preserve">MEDIUM</t>
        </is>
      </c>
      <c r="F339" s="5" t="inlineStr">
        <is>
          <t xml:space="preserve">RAW_CONTENT_THIN_VALID_PAGE</t>
        </is>
      </c>
      <c r="G339" s="7" t="inlineStr">
        <is>
          <t xml:space="preserve">G9, TP</t>
        </is>
      </c>
      <c r="H339" s="9" t="inlineStr">
        <is>
          <t xml:space="preserve">https://developers.google.com/search/docs/crawling-indexing/javascript/javascript-seo-basics</t>
        </is>
      </c>
      <c r="I339" s="11" t="inlineStr">
        <is>
          <t xml:space="preserve">Google — documented</t>
        </is>
      </c>
      <c r="J339" s="12" t="inlineStr">
        <is>
          <t xml:space="preserve">Tool policy</t>
        </is>
      </c>
      <c r="K339" s="5" t="inlineStr">
        <is>
          <t xml:space="preserve">Distinct from C-6.1-b. Google documents that content assembled by scripts may not be seen by every consumer, which is what C-6.1-b reports. Where rendering adds nothing, JavaScript is not withholding anything and the page is simply thin — worth reporting, but not the same defect and not critical. The 50-word boundary and the 3x rendering ratio are tool policy.</t>
        </is>
      </c>
    </row>
    <row r="340" ht="15.75" customHeight="1">
      <c r="A340" s="5" t="inlineStr">
        <is>
          <t xml:space="preserve">X-5.3b</t>
        </is>
      </c>
      <c r="B340" s="7" t="inlineStr">
        <is>
          <t xml:space="preserve">X-5.3b-a</t>
        </is>
      </c>
      <c r="C340" s="5" t="inlineStr">
        <is>
          <t xml:space="preserve">/llms-full.txt returns 200 with substantive non-HTML text</t>
        </is>
      </c>
      <c r="D340" s="7" t="inlineStr">
        <is>
          <t xml:space="preserve">PASS</t>
        </is>
      </c>
      <c r="E340" s="7" t="inlineStr">
        <is>
          <t xml:space="preserve">—</t>
        </is>
      </c>
      <c r="F340" s="5" t="inlineStr">
        <is>
          <t xml:space="preserve">LLMS_FULL_TXT_PRESENT</t>
        </is>
      </c>
      <c r="G340" s="7" t="inlineStr">
        <is>
          <t xml:space="preserve">L1, TP</t>
        </is>
      </c>
      <c r="H340" s="9" t="inlineStr">
        <is>
          <t xml:space="preserve">https://llmstxt.org/</t>
        </is>
      </c>
      <c r="I340" s="11" t="inlineStr">
        <is>
          <t xml:space="preserve">Proposed — not adopted</t>
        </is>
      </c>
      <c r="J340" s="12" t="inlineStr">
        <is>
          <t xml:space="preserve">Tool policy</t>
        </is>
      </c>
      <c r="K340" s="5" t="inlineStr">
        <is>
          <t xml:space="preserve">Advisory. The file is published. No search engine consumes it, so this records a fact rather than a requirement met. The 20-word substantiveness floor is tool policy.</t>
        </is>
      </c>
    </row>
    <row r="341" ht="15.75" customHeight="1">
      <c r="A341" s="5" t="inlineStr">
        <is>
          <t xml:space="preserve">X-5.3b</t>
        </is>
      </c>
      <c r="B341" s="7" t="inlineStr">
        <is>
          <t xml:space="preserve">X-5.3b-b</t>
        </is>
      </c>
      <c r="C341" s="5" t="inlineStr">
        <is>
          <t xml:space="preserve">/llms-full.txt returns 404 or 410</t>
        </is>
      </c>
      <c r="D341" s="7" t="inlineStr">
        <is>
          <t xml:space="preserve">PASS</t>
        </is>
      </c>
      <c r="E341" s="7" t="inlineStr">
        <is>
          <t xml:space="preserve">—</t>
        </is>
      </c>
      <c r="F341" s="5" t="inlineStr">
        <is>
          <t xml:space="preserve">LLMS_FULL_TXT_ABSENT</t>
        </is>
      </c>
      <c r="G341" s="7" t="inlineStr">
        <is>
          <t xml:space="preserve">L1, TP</t>
        </is>
      </c>
      <c r="H341" s="9" t="inlineStr">
        <is>
          <t xml:space="preserve">https://llmstxt.org/</t>
        </is>
      </c>
      <c r="I341" s="11" t="inlineStr">
        <is>
          <t xml:space="preserve">Proposed — not adopted</t>
        </is>
      </c>
      <c r="J341" s="12" t="inlineStr">
        <is>
          <t xml:space="preserve">Tool policy</t>
        </is>
      </c>
      <c r="K341" s="5" t="inlineStr">
        <is>
          <t xml:space="preserve">Advisory. Absence is not a defect: nothing requires this file. A clean 404 is the correct answer for a site that does not publish one.</t>
        </is>
      </c>
    </row>
    <row r="342" ht="15.75" customHeight="1">
      <c r="A342" s="5" t="inlineStr">
        <is>
          <t xml:space="preserve">X-5.3b</t>
        </is>
      </c>
      <c r="B342" s="7" t="inlineStr">
        <is>
          <t xml:space="preserve">X-5.3b-c</t>
        </is>
      </c>
      <c r="C342" s="5" t="inlineStr">
        <is>
          <t xml:space="preserve">/llms-full.txt returns 200 with HTML, or with almost no content</t>
        </is>
      </c>
      <c r="D342" s="7" t="inlineStr">
        <is>
          <t xml:space="preserve">PASS</t>
        </is>
      </c>
      <c r="E342" s="7" t="inlineStr">
        <is>
          <t xml:space="preserve">—</t>
        </is>
      </c>
      <c r="F342" s="5" t="inlineStr">
        <is>
          <t xml:space="preserve">LLMS_FULL_TXT_FALLBACK</t>
        </is>
      </c>
      <c r="G342" s="7" t="inlineStr">
        <is>
          <t xml:space="preserve">L1, TP</t>
        </is>
      </c>
      <c r="H342" s="9" t="inlineStr">
        <is>
          <t xml:space="preserve">https://llmstxt.org/</t>
        </is>
      </c>
      <c r="I342" s="11" t="inlineStr">
        <is>
          <t xml:space="preserve">Proposed — not adopted</t>
        </is>
      </c>
      <c r="J342" s="12" t="inlineStr">
        <is>
          <t xml:space="preserve">Tool policy</t>
        </is>
      </c>
      <c r="K342" s="5" t="inlineStr">
        <is>
          <t xml:space="preserve">Advisory. The server answered with a page instead of saying the file is absent, so no llms-full.txt is published. Distinguished from a real file so the two are not confused.</t>
        </is>
      </c>
    </row>
    <row r="343" ht="15.75" customHeight="1">
      <c r="A343" s="5" t="inlineStr">
        <is>
          <t xml:space="preserve">X-5.3b</t>
        </is>
      </c>
      <c r="B343" s="7" t="inlineStr">
        <is>
          <t xml:space="preserve">X-5.3b-d</t>
        </is>
      </c>
      <c r="C343" s="5" t="inlineStr">
        <is>
          <t xml:space="preserve">The request did not resolve: no response, 403, 429, 5xx, or a bot challenge</t>
        </is>
      </c>
      <c r="D343" s="7" t="inlineStr">
        <is>
          <t xml:space="preserve">NOT_TESTABLE</t>
        </is>
      </c>
      <c r="E343" s="7" t="inlineStr">
        <is>
          <t xml:space="preserve">—</t>
        </is>
      </c>
      <c r="F343" s="5" t="inlineStr">
        <is>
          <t xml:space="preserve">LLMS_FULL_TXT_FETCH_FAILED</t>
        </is>
      </c>
      <c r="G343" s="7" t="inlineStr">
        <is>
          <t xml:space="preserve">L1, TP</t>
        </is>
      </c>
      <c r="H343" s="9" t="inlineStr">
        <is>
          <t xml:space="preserve">https://llmstxt.org/</t>
        </is>
      </c>
      <c r="I343" s="11" t="inlineStr">
        <is>
          <t xml:space="preserve">Proposed — not adopted</t>
        </is>
      </c>
      <c r="J343" s="12" t="inlineStr">
        <is>
          <t xml:space="preserve">Tool policy</t>
        </is>
      </c>
      <c r="K343" s="5" t="inlineStr">
        <is>
          <t xml:space="preserve">Advisory. A request that did not resolve says nothing about whether the file exists.</t>
        </is>
      </c>
    </row>
    <row r="344" ht="15.75" customHeight="1">
      <c r="A344" s="5" t="inlineStr">
        <is>
          <t xml:space="preserve">X-5.5</t>
        </is>
      </c>
      <c r="B344" s="7" t="inlineStr">
        <is>
          <t xml:space="preserve">X-5.5-a</t>
        </is>
      </c>
      <c r="C344" s="5" t="inlineStr">
        <is>
          <t xml:space="preserve">The registrable domain appears in the latest Common Crawl index</t>
        </is>
      </c>
      <c r="D344" s="7" t="inlineStr">
        <is>
          <t xml:space="preserve">PASS</t>
        </is>
      </c>
      <c r="E344" s="7" t="inlineStr">
        <is>
          <t xml:space="preserve">—</t>
        </is>
      </c>
      <c r="F344" s="5" t="inlineStr">
        <is>
          <t xml:space="preserve">COMMON_CRAWL_PRESENT</t>
        </is>
      </c>
      <c r="G344" s="7" t="inlineStr">
        <is>
          <t xml:space="preserve">CC, TP</t>
        </is>
      </c>
      <c r="H344" s="9" t="inlineStr">
        <is>
          <t xml:space="preserve">https://commoncrawl.org/</t>
        </is>
      </c>
      <c r="I344" s="11" t="inlineStr">
        <is>
          <t xml:space="preserve">Third-party archive — not a search index</t>
        </is>
      </c>
      <c r="J344" s="12" t="inlineStr">
        <is>
          <t xml:space="preserve">Tool policy</t>
        </is>
      </c>
      <c r="K344" s="5" t="inlineStr">
        <is>
          <t xml:space="preserve">Advisory. Confirms a URL from the domain was captured in that crawl, and nothing further: not training, not citation, not search visibility, not current crawler access.</t>
        </is>
      </c>
    </row>
    <row r="345" ht="15.75" customHeight="1">
      <c r="A345" s="5" t="inlineStr">
        <is>
          <t xml:space="preserve">X-5.5</t>
        </is>
      </c>
      <c r="B345" s="7" t="inlineStr">
        <is>
          <t xml:space="preserve">X-5.5-b</t>
        </is>
      </c>
      <c r="C345" s="5" t="inlineStr">
        <is>
          <t xml:space="preserve">Not in the latest index, but present in one of the previous two releases</t>
        </is>
      </c>
      <c r="D345" s="7" t="inlineStr">
        <is>
          <t xml:space="preserve">PASS</t>
        </is>
      </c>
      <c r="E345" s="7" t="inlineStr">
        <is>
          <t xml:space="preserve">—</t>
        </is>
      </c>
      <c r="F345" s="5" t="inlineStr">
        <is>
          <t xml:space="preserve">COMMON_CRAWL_PRESENT_RECENTLY</t>
        </is>
      </c>
      <c r="G345" s="7" t="inlineStr">
        <is>
          <t xml:space="preserve">CC, TP</t>
        </is>
      </c>
      <c r="H345" s="9" t="inlineStr">
        <is>
          <t xml:space="preserve">https://commoncrawl.org/</t>
        </is>
      </c>
      <c r="I345" s="11" t="inlineStr">
        <is>
          <t xml:space="preserve">Third-party archive — not a search index</t>
        </is>
      </c>
      <c r="J345" s="12" t="inlineStr">
        <is>
          <t xml:space="preserve">Tool policy</t>
        </is>
      </c>
      <c r="K345" s="5" t="inlineStr">
        <is>
          <t xml:space="preserve">Advisory. Coverage varies between releases, so absence from the newest one is not evidence of a change on the site. Checking three releases rather than the whole archive is tool policy, to keep an initial audit fast.</t>
        </is>
      </c>
    </row>
    <row r="346" ht="15.75" customHeight="1">
      <c r="A346" s="5" t="inlineStr">
        <is>
          <t xml:space="preserve">X-5.5</t>
        </is>
      </c>
      <c r="B346" s="7" t="inlineStr">
        <is>
          <t xml:space="preserve">X-5.5-c</t>
        </is>
      </c>
      <c r="C346" s="5" t="inlineStr">
        <is>
          <t xml:space="preserve">No capture in the latest three Common Crawl releases</t>
        </is>
      </c>
      <c r="D346" s="7" t="inlineStr">
        <is>
          <t xml:space="preserve">PASS</t>
        </is>
      </c>
      <c r="E346" s="7" t="inlineStr">
        <is>
          <t xml:space="preserve">—</t>
        </is>
      </c>
      <c r="F346" s="5" t="inlineStr">
        <is>
          <t xml:space="preserve">COMMON_CRAWL_NOT_FOUND_RECENT</t>
        </is>
      </c>
      <c r="G346" s="7" t="inlineStr">
        <is>
          <t xml:space="preserve">CC, TP</t>
        </is>
      </c>
      <c r="H346" s="9" t="inlineStr">
        <is>
          <t xml:space="preserve">https://commoncrawl.org/</t>
        </is>
      </c>
      <c r="I346" s="11" t="inlineStr">
        <is>
          <t xml:space="preserve">Third-party archive — not a search index</t>
        </is>
      </c>
      <c r="J346" s="12" t="inlineStr">
        <is>
          <t xml:space="preserve">Tool policy</t>
        </is>
      </c>
      <c r="K346" s="5" t="inlineStr">
        <is>
          <t xml:space="preserve">Advisory, and never a failure. Common Crawl samples the web rather than covering it, so absence is not evidence that a site is unreachable, unindexed or invisible to assistants.</t>
        </is>
      </c>
    </row>
    <row r="347" ht="15.75" customHeight="1">
      <c r="A347" s="5" t="inlineStr">
        <is>
          <t xml:space="preserve">X-5.5</t>
        </is>
      </c>
      <c r="B347" s="7" t="inlineStr">
        <is>
          <t xml:space="preserve">X-5.5-d</t>
        </is>
      </c>
      <c r="C347" s="5" t="inlineStr">
        <is>
          <t xml:space="preserve">The Common Crawl index did not answer: 429, 5xx, timeout, network failure, or invalid JSON</t>
        </is>
      </c>
      <c r="D347" s="7" t="inlineStr">
        <is>
          <t xml:space="preserve">NOT_TESTABLE</t>
        </is>
      </c>
      <c r="E347" s="7" t="inlineStr">
        <is>
          <t xml:space="preserve">—</t>
        </is>
      </c>
      <c r="F347" s="5" t="inlineStr">
        <is>
          <t xml:space="preserve">COMMON_CRAWL_API_UNAVAILABLE</t>
        </is>
      </c>
      <c r="G347" s="7" t="inlineStr">
        <is>
          <t xml:space="preserve">CC, TP</t>
        </is>
      </c>
      <c r="H347" s="9" t="inlineStr">
        <is>
          <t xml:space="preserve">https://commoncrawl.org/</t>
        </is>
      </c>
      <c r="I347" s="11" t="inlineStr">
        <is>
          <t xml:space="preserve">Third-party archive — not a search index</t>
        </is>
      </c>
      <c r="J347" s="12" t="inlineStr">
        <is>
          <t xml:space="preserve">Tool policy</t>
        </is>
      </c>
      <c r="K347" s="5" t="inlineStr">
        <is>
          <t xml:space="preserve">Advisory. The CDX API answers 503/504 under load often enough that one retry with backoff is built in. An API that still did not answer says nothing about the domain, and must not be reported as absence.</t>
        </is>
      </c>
    </row>
  </sheetData>
  <autoFilter ref="$A$1:$K$323"/>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3"/>
    <hyperlink r:id="rId41" ref="H44"/>
    <hyperlink r:id="rId42" ref="H45"/>
    <hyperlink r:id="rId43" ref="H46"/>
    <hyperlink r:id="rId44" ref="H47"/>
    <hyperlink r:id="rId45" ref="H48"/>
    <hyperlink r:id="rId46" ref="H49"/>
    <hyperlink r:id="rId47" ref="H50"/>
    <hyperlink r:id="rId48" ref="H51"/>
    <hyperlink r:id="rId49" ref="H52"/>
    <hyperlink r:id="rId50" ref="H53"/>
    <hyperlink r:id="rId51" ref="H54"/>
    <hyperlink r:id="rId52" ref="H55"/>
    <hyperlink r:id="rId53" ref="H56"/>
    <hyperlink r:id="rId54" ref="H57"/>
    <hyperlink r:id="rId55" ref="H58"/>
    <hyperlink r:id="rId56" ref="H59"/>
    <hyperlink r:id="rId57" ref="H60"/>
    <hyperlink r:id="rId58" ref="H61"/>
    <hyperlink r:id="rId59" ref="H62"/>
    <hyperlink r:id="rId60" ref="H63"/>
    <hyperlink r:id="rId61" ref="H64"/>
    <hyperlink r:id="rId62" ref="H65"/>
    <hyperlink r:id="rId63" ref="H66"/>
    <hyperlink r:id="rId64" ref="H67"/>
    <hyperlink r:id="rId65" ref="H68"/>
    <hyperlink r:id="rId66" ref="H69"/>
    <hyperlink r:id="rId67" ref="H70"/>
    <hyperlink r:id="rId68" ref="H71"/>
    <hyperlink r:id="rId69" ref="H72"/>
    <hyperlink r:id="rId70" ref="H73"/>
    <hyperlink r:id="rId71" ref="H74"/>
    <hyperlink r:id="rId72" ref="H75"/>
    <hyperlink r:id="rId73" ref="H76"/>
    <hyperlink r:id="rId74" ref="H77"/>
    <hyperlink r:id="rId75" ref="H78"/>
    <hyperlink r:id="rId76" ref="H79"/>
    <hyperlink r:id="rId77" ref="H80"/>
    <hyperlink r:id="rId78" ref="H81"/>
    <hyperlink r:id="rId79" ref="H82"/>
    <hyperlink r:id="rId80" ref="H83"/>
    <hyperlink r:id="rId81" ref="H84"/>
    <hyperlink r:id="rId82" ref="H85"/>
    <hyperlink r:id="rId83" ref="H86"/>
    <hyperlink r:id="rId84" ref="H87"/>
    <hyperlink r:id="rId85" ref="H88"/>
    <hyperlink r:id="rId86" ref="H89"/>
    <hyperlink r:id="rId87" ref="H90"/>
    <hyperlink r:id="rId88" ref="H91"/>
    <hyperlink r:id="rId89" ref="H92"/>
    <hyperlink r:id="rId90" ref="H93"/>
    <hyperlink r:id="rId91" ref="H94"/>
    <hyperlink r:id="rId92" ref="H95"/>
    <hyperlink r:id="rId93" ref="H96"/>
    <hyperlink r:id="rId94" ref="H97"/>
    <hyperlink r:id="rId95" ref="H98"/>
    <hyperlink r:id="rId96" ref="H99"/>
    <hyperlink r:id="rId97" ref="H100"/>
    <hyperlink r:id="rId98" ref="H101"/>
    <hyperlink r:id="rId99" ref="H102"/>
    <hyperlink r:id="rId100" ref="H103"/>
    <hyperlink r:id="rId101" ref="H104"/>
    <hyperlink r:id="rId102" ref="H105"/>
    <hyperlink r:id="rId103" ref="H106"/>
    <hyperlink r:id="rId104" ref="H107"/>
    <hyperlink r:id="rId105" ref="H108"/>
    <hyperlink r:id="rId106" ref="H109"/>
    <hyperlink r:id="rId107" ref="H110"/>
    <hyperlink r:id="rId108" ref="H111"/>
    <hyperlink r:id="rId109" ref="H112"/>
    <hyperlink r:id="rId110" ref="H113"/>
    <hyperlink r:id="rId111" ref="H114"/>
    <hyperlink r:id="rId112" ref="H115"/>
    <hyperlink r:id="rId113" ref="H116"/>
    <hyperlink r:id="rId114" ref="H117"/>
    <hyperlink r:id="rId115" ref="H118"/>
    <hyperlink r:id="rId116" ref="H119"/>
    <hyperlink r:id="rId117" ref="H120"/>
    <hyperlink r:id="rId118" ref="H121"/>
    <hyperlink r:id="rId119" ref="H122"/>
    <hyperlink r:id="rId120" ref="H123"/>
    <hyperlink r:id="rId121" ref="H124"/>
    <hyperlink r:id="rId122" ref="H125"/>
    <hyperlink r:id="rId123" ref="H126"/>
    <hyperlink r:id="rId124" ref="H127"/>
    <hyperlink r:id="rId125" ref="H128"/>
    <hyperlink r:id="rId126" ref="H129"/>
    <hyperlink r:id="rId127" ref="H130"/>
    <hyperlink r:id="rId128" ref="H131"/>
    <hyperlink r:id="rId129" ref="H132"/>
    <hyperlink r:id="rId130" ref="H133"/>
    <hyperlink r:id="rId131" ref="H134"/>
    <hyperlink r:id="rId132" ref="H135"/>
    <hyperlink r:id="rId133" ref="H136"/>
    <hyperlink r:id="rId134" ref="H137"/>
    <hyperlink r:id="rId135" ref="H138"/>
    <hyperlink r:id="rId136" ref="H139"/>
    <hyperlink r:id="rId137" ref="H140"/>
    <hyperlink r:id="rId138" ref="H141"/>
    <hyperlink r:id="rId139" ref="H142"/>
    <hyperlink r:id="rId140" ref="H143"/>
    <hyperlink r:id="rId141" ref="H144"/>
    <hyperlink r:id="rId142" ref="H145"/>
    <hyperlink r:id="rId143" ref="H146"/>
    <hyperlink r:id="rId144" ref="H147"/>
    <hyperlink r:id="rId145" ref="H148"/>
    <hyperlink r:id="rId146" ref="H149"/>
    <hyperlink r:id="rId147" ref="H150"/>
    <hyperlink r:id="rId148" ref="H151"/>
    <hyperlink r:id="rId149" ref="H152"/>
    <hyperlink r:id="rId150" ref="H153"/>
    <hyperlink r:id="rId151" ref="H154"/>
    <hyperlink r:id="rId152" ref="H155"/>
    <hyperlink r:id="rId153" ref="H156"/>
    <hyperlink r:id="rId154" ref="H157"/>
    <hyperlink r:id="rId155" ref="H158"/>
    <hyperlink r:id="rId156" ref="H159"/>
    <hyperlink r:id="rId157" ref="H160"/>
    <hyperlink r:id="rId158" ref="H161"/>
    <hyperlink r:id="rId159" ref="H162"/>
    <hyperlink r:id="rId160" ref="H163"/>
    <hyperlink r:id="rId161" ref="H164"/>
    <hyperlink r:id="rId162" ref="H165"/>
    <hyperlink r:id="rId163" ref="H166"/>
    <hyperlink r:id="rId164" ref="H167"/>
    <hyperlink r:id="rId165" ref="H168"/>
    <hyperlink r:id="rId166" ref="H169"/>
    <hyperlink r:id="rId167" ref="H170"/>
    <hyperlink r:id="rId168" ref="H171"/>
    <hyperlink r:id="rId169" ref="H172"/>
    <hyperlink r:id="rId170" ref="H173"/>
    <hyperlink r:id="rId171" ref="H174"/>
    <hyperlink r:id="rId172" ref="H175"/>
    <hyperlink r:id="rId173" ref="H176"/>
    <hyperlink r:id="rId174" ref="H177"/>
    <hyperlink r:id="rId175" ref="H178"/>
    <hyperlink r:id="rId176" ref="H179"/>
    <hyperlink r:id="rId177" ref="H180"/>
    <hyperlink r:id="rId178" ref="H181"/>
    <hyperlink r:id="rId179" ref="H182"/>
    <hyperlink r:id="rId180" ref="H183"/>
    <hyperlink r:id="rId181" ref="H184"/>
    <hyperlink r:id="rId182" ref="H185"/>
    <hyperlink r:id="rId183" ref="H186"/>
    <hyperlink r:id="rId184" ref="H187"/>
    <hyperlink r:id="rId185" ref="H188"/>
    <hyperlink r:id="rId186" ref="H189"/>
    <hyperlink r:id="rId187" ref="H190"/>
    <hyperlink r:id="rId188" ref="H191"/>
    <hyperlink r:id="rId189" ref="H192"/>
    <hyperlink r:id="rId190" ref="H193"/>
    <hyperlink r:id="rId191" ref="H194"/>
    <hyperlink r:id="rId192" ref="H195"/>
    <hyperlink r:id="rId193" ref="H196"/>
    <hyperlink r:id="rId194" ref="H197"/>
    <hyperlink r:id="rId195" ref="H198"/>
    <hyperlink r:id="rId196" ref="H199"/>
    <hyperlink r:id="rId197" ref="H200"/>
    <hyperlink r:id="rId198" ref="H201"/>
    <hyperlink r:id="rId199" ref="H202"/>
    <hyperlink r:id="rId200" ref="H203"/>
    <hyperlink r:id="rId201" ref="H204"/>
    <hyperlink r:id="rId202" ref="H205"/>
    <hyperlink r:id="rId203" ref="H206"/>
    <hyperlink r:id="rId204" ref="H207"/>
    <hyperlink r:id="rId205" ref="H208"/>
    <hyperlink r:id="rId206" ref="H209"/>
    <hyperlink r:id="rId207" ref="H210"/>
    <hyperlink r:id="rId208" ref="H211"/>
    <hyperlink r:id="rId209" ref="H212"/>
    <hyperlink r:id="rId210" ref="H213"/>
    <hyperlink r:id="rId211" ref="H214"/>
    <hyperlink r:id="rId212" ref="H215"/>
    <hyperlink r:id="rId213" ref="H216"/>
    <hyperlink r:id="rId214" ref="H217"/>
    <hyperlink r:id="rId215" ref="H218"/>
    <hyperlink r:id="rId216" ref="H219"/>
    <hyperlink r:id="rId217" ref="H220"/>
    <hyperlink r:id="rId218" ref="H221"/>
    <hyperlink r:id="rId219" ref="H222"/>
    <hyperlink r:id="rId220" ref="H223"/>
    <hyperlink r:id="rId221" ref="H224"/>
    <hyperlink r:id="rId222" ref="H225"/>
    <hyperlink r:id="rId223" ref="H226"/>
    <hyperlink r:id="rId224" ref="H227"/>
    <hyperlink r:id="rId225" ref="H228"/>
    <hyperlink r:id="rId226" ref="H229"/>
    <hyperlink r:id="rId227" ref="H230"/>
    <hyperlink r:id="rId228" ref="H231"/>
    <hyperlink r:id="rId229" ref="H232"/>
    <hyperlink r:id="rId230" ref="H233"/>
    <hyperlink r:id="rId231" ref="H234"/>
    <hyperlink r:id="rId232" ref="H235"/>
    <hyperlink r:id="rId233" ref="H236"/>
    <hyperlink r:id="rId234" ref="H237"/>
    <hyperlink r:id="rId235" ref="H238"/>
    <hyperlink r:id="rId236" ref="H239"/>
    <hyperlink r:id="rId237" ref="H240"/>
    <hyperlink r:id="rId238" ref="H241"/>
    <hyperlink r:id="rId239" ref="H242"/>
    <hyperlink r:id="rId240" ref="H243"/>
    <hyperlink r:id="rId241" ref="H244"/>
    <hyperlink r:id="rId242" ref="H245"/>
    <hyperlink r:id="rId243" ref="H246"/>
    <hyperlink r:id="rId244" ref="H247"/>
    <hyperlink r:id="rId245" ref="H248"/>
    <hyperlink r:id="rId246" ref="H249"/>
    <hyperlink r:id="rId247" ref="H250"/>
    <hyperlink r:id="rId248" ref="H251"/>
    <hyperlink r:id="rId249" ref="H252"/>
    <hyperlink r:id="rId250" ref="H253"/>
    <hyperlink r:id="rId251" ref="H254"/>
    <hyperlink r:id="rId252" ref="H255"/>
    <hyperlink r:id="rId253" ref="H256"/>
    <hyperlink r:id="rId254" ref="H257"/>
    <hyperlink r:id="rId255" ref="H258"/>
    <hyperlink r:id="rId256" ref="H259"/>
    <hyperlink r:id="rId257" ref="H260"/>
    <hyperlink r:id="rId258" ref="H261"/>
    <hyperlink r:id="rId259" ref="H262"/>
    <hyperlink r:id="rId260" ref="H263"/>
    <hyperlink r:id="rId261" ref="H264"/>
    <hyperlink r:id="rId262" ref="H265"/>
    <hyperlink r:id="rId263" ref="H266"/>
    <hyperlink r:id="rId264" ref="H267"/>
    <hyperlink r:id="rId265" ref="H268"/>
    <hyperlink r:id="rId266" ref="H269"/>
    <hyperlink r:id="rId267" ref="H270"/>
    <hyperlink r:id="rId268" ref="H271"/>
    <hyperlink r:id="rId269" ref="H272"/>
    <hyperlink r:id="rId270" ref="H273"/>
    <hyperlink r:id="rId271" ref="H274"/>
    <hyperlink r:id="rId272" ref="H275"/>
    <hyperlink r:id="rId273" ref="H276"/>
    <hyperlink r:id="rId274" ref="H277"/>
    <hyperlink r:id="rId275" ref="H278"/>
    <hyperlink r:id="rId276" ref="H279"/>
    <hyperlink r:id="rId277" ref="H280"/>
    <hyperlink r:id="rId278" ref="H281"/>
    <hyperlink r:id="rId279" ref="H282"/>
    <hyperlink r:id="rId280" ref="H283"/>
    <hyperlink r:id="rId281" ref="H284"/>
    <hyperlink r:id="rId282" ref="H285"/>
    <hyperlink r:id="rId283" ref="H286"/>
    <hyperlink r:id="rId284" ref="H287"/>
    <hyperlink r:id="rId285" ref="H288"/>
    <hyperlink r:id="rId286" ref="H300"/>
    <hyperlink r:id="rId287" ref="H301"/>
    <hyperlink r:id="rId288" ref="H302"/>
    <hyperlink r:id="rId289" ref="H303"/>
    <hyperlink r:id="rId290" ref="H304"/>
    <hyperlink r:id="rId291" ref="H305"/>
    <hyperlink r:id="rId292" ref="H306"/>
    <hyperlink r:id="rId293" ref="H307"/>
    <hyperlink r:id="rId294" ref="H308"/>
    <hyperlink r:id="rId295" ref="H309"/>
    <hyperlink r:id="rId296" ref="H310"/>
    <hyperlink r:id="rId297" ref="H311"/>
    <hyperlink r:id="rId298" ref="H312"/>
    <hyperlink r:id="rId299" ref="H313"/>
    <hyperlink r:id="rId300" ref="H314"/>
    <hyperlink r:id="rId301" ref="H315"/>
    <hyperlink r:id="rId302" ref="H316"/>
    <hyperlink r:id="rId303" ref="H319"/>
    <hyperlink r:id="rId304" ref="H320"/>
    <hyperlink r:id="rId305" ref="H321"/>
    <hyperlink r:id="rId306" ref="H322"/>
    <hyperlink r:id="rId307" ref="H323"/>
  </hyperlinks>
  <printOptions/>
  <pageMargins bottom="1.0" footer="0.0" header="0.0" left="0.75" right="0.75" top="1.0"/>
  <pageSetup paperSize="9" orientation="portrait"/>
  <drawing r:id="rId30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3.0"/>
    <col customWidth="1" min="3" max="3" width="66.0"/>
    <col customWidth="1" min="4" max="4" width="34.0"/>
    <col customWidth="1" min="5" max="5" width="80.0"/>
    <col customWidth="1" min="6" max="26" width="8.71"/>
  </cols>
  <sheetData>
    <row r="1" ht="30.0" customHeight="1">
      <c r="A1" s="1" t="s">
        <v>1</v>
      </c>
      <c r="B1" s="1" t="s">
        <v>31</v>
      </c>
      <c r="C1" s="1" t="s">
        <v>33</v>
      </c>
      <c r="D1" s="1" t="s">
        <v>37</v>
      </c>
      <c r="E1" s="1" t="s">
        <v>320</v>
      </c>
    </row>
    <row r="2">
      <c r="A2" s="7" t="s">
        <v>30</v>
      </c>
      <c r="B2" s="7" t="s">
        <v>63</v>
      </c>
      <c r="C2" s="5" t="s">
        <v>64</v>
      </c>
      <c r="D2" s="5" t="s">
        <v>67</v>
      </c>
      <c r="E2" s="5" t="s">
        <v>324</v>
      </c>
    </row>
    <row r="3">
      <c r="A3" s="7" t="s">
        <v>30</v>
      </c>
      <c r="B3" s="7" t="s">
        <v>76</v>
      </c>
      <c r="C3" s="5" t="s">
        <v>77</v>
      </c>
      <c r="D3" s="5" t="s">
        <v>78</v>
      </c>
      <c r="E3" s="5" t="s">
        <v>324</v>
      </c>
    </row>
    <row r="4">
      <c r="A4" s="7" t="s">
        <v>30</v>
      </c>
      <c r="B4" s="7" t="s">
        <v>90</v>
      </c>
      <c r="C4" s="5" t="s">
        <v>92</v>
      </c>
      <c r="D4" s="5" t="s">
        <v>94</v>
      </c>
      <c r="E4" s="5" t="s">
        <v>324</v>
      </c>
    </row>
    <row r="5">
      <c r="A5" s="7" t="s">
        <v>30</v>
      </c>
      <c r="B5" s="7" t="s">
        <v>114</v>
      </c>
      <c r="C5" s="5" t="s">
        <v>115</v>
      </c>
      <c r="D5" s="5" t="s">
        <v>116</v>
      </c>
      <c r="E5" s="5" t="s">
        <v>324</v>
      </c>
    </row>
    <row r="6">
      <c r="A6" s="7" t="s">
        <v>30</v>
      </c>
      <c r="B6" s="7" t="s">
        <v>118</v>
      </c>
      <c r="C6" s="5" t="s">
        <v>120</v>
      </c>
      <c r="D6" s="5" t="s">
        <v>123</v>
      </c>
      <c r="E6" s="5" t="s">
        <v>324</v>
      </c>
    </row>
    <row r="7">
      <c r="A7" s="7" t="s">
        <v>60</v>
      </c>
      <c r="B7" s="7" t="s">
        <v>149</v>
      </c>
      <c r="C7" s="5" t="s">
        <v>150</v>
      </c>
      <c r="D7" s="5" t="s">
        <v>151</v>
      </c>
      <c r="E7" s="5" t="s">
        <v>342</v>
      </c>
    </row>
    <row r="8">
      <c r="A8" s="7" t="s">
        <v>60</v>
      </c>
      <c r="B8" s="7" t="s">
        <v>154</v>
      </c>
      <c r="C8" s="5" t="s">
        <v>155</v>
      </c>
      <c r="D8" s="5" t="s">
        <v>156</v>
      </c>
      <c r="E8" s="5" t="s">
        <v>163</v>
      </c>
    </row>
    <row r="9">
      <c r="A9" s="7" t="s">
        <v>60</v>
      </c>
      <c r="B9" s="7" t="s">
        <v>173</v>
      </c>
      <c r="C9" s="5" t="s">
        <v>174</v>
      </c>
      <c r="D9" s="5" t="s">
        <v>176</v>
      </c>
      <c r="E9" s="5" t="s">
        <v>342</v>
      </c>
    </row>
    <row r="10">
      <c r="A10" s="7" t="s">
        <v>60</v>
      </c>
      <c r="B10" s="7" t="s">
        <v>178</v>
      </c>
      <c r="C10" s="5" t="s">
        <v>179</v>
      </c>
      <c r="D10" s="5" t="s">
        <v>180</v>
      </c>
      <c r="E10" s="5" t="s">
        <v>342</v>
      </c>
    </row>
    <row r="11">
      <c r="A11" s="7" t="s">
        <v>60</v>
      </c>
      <c r="B11" s="7" t="s">
        <v>182</v>
      </c>
      <c r="C11" s="5" t="s">
        <v>183</v>
      </c>
      <c r="D11" s="5" t="s">
        <v>186</v>
      </c>
      <c r="E11" s="5" t="s">
        <v>342</v>
      </c>
    </row>
    <row r="12">
      <c r="A12" s="7" t="s">
        <v>60</v>
      </c>
      <c r="B12" s="7" t="s">
        <v>187</v>
      </c>
      <c r="C12" s="5" t="s">
        <v>188</v>
      </c>
      <c r="D12" s="5" t="s">
        <v>45</v>
      </c>
      <c r="E12" s="5" t="s">
        <v>342</v>
      </c>
    </row>
    <row r="13">
      <c r="A13" s="7" t="s">
        <v>89</v>
      </c>
      <c r="B13" s="7" t="s">
        <v>189</v>
      </c>
      <c r="C13" s="5" t="s">
        <v>190</v>
      </c>
      <c r="D13" s="5" t="s">
        <v>45</v>
      </c>
      <c r="E13" s="5" t="s">
        <v>359</v>
      </c>
    </row>
    <row r="14">
      <c r="A14" s="7" t="s">
        <v>89</v>
      </c>
      <c r="B14" s="7" t="s">
        <v>210</v>
      </c>
      <c r="C14" s="5" t="s">
        <v>211</v>
      </c>
      <c r="D14" s="5" t="s">
        <v>212</v>
      </c>
      <c r="E14" s="5" t="s">
        <v>359</v>
      </c>
    </row>
    <row r="15">
      <c r="A15" s="7" t="s">
        <v>89</v>
      </c>
      <c r="B15" s="7" t="s">
        <v>221</v>
      </c>
      <c r="C15" s="5" t="s">
        <v>222</v>
      </c>
      <c r="D15" s="5" t="s">
        <v>223</v>
      </c>
      <c r="E15" s="5" t="s">
        <v>359</v>
      </c>
    </row>
    <row r="16">
      <c r="A16" s="7" t="s">
        <v>89</v>
      </c>
      <c r="B16" s="7" t="s">
        <v>226</v>
      </c>
      <c r="C16" s="5" t="s">
        <v>227</v>
      </c>
      <c r="D16" s="5" t="s">
        <v>228</v>
      </c>
      <c r="E16" s="5" t="s">
        <v>359</v>
      </c>
    </row>
    <row r="17">
      <c r="A17" s="7" t="s">
        <v>89</v>
      </c>
      <c r="B17" s="7" t="s">
        <v>230</v>
      </c>
      <c r="C17" s="5" t="s">
        <v>231</v>
      </c>
      <c r="D17" s="5" t="s">
        <v>232</v>
      </c>
      <c r="E17" s="5" t="s">
        <v>359</v>
      </c>
    </row>
    <row r="18">
      <c r="A18" s="7" t="s">
        <v>89</v>
      </c>
      <c r="B18" s="7" t="s">
        <v>234</v>
      </c>
      <c r="C18" s="5" t="s">
        <v>236</v>
      </c>
      <c r="D18" s="5" t="s">
        <v>239</v>
      </c>
      <c r="E18" s="5" t="s">
        <v>359</v>
      </c>
    </row>
    <row r="19">
      <c r="A19" s="7" t="s">
        <v>89</v>
      </c>
      <c r="B19" s="7" t="s">
        <v>280</v>
      </c>
      <c r="C19" s="5" t="s">
        <v>281</v>
      </c>
      <c r="D19" s="5" t="s">
        <v>282</v>
      </c>
      <c r="E19" s="5" t="s">
        <v>359</v>
      </c>
    </row>
    <row r="20">
      <c r="A20" s="7" t="s">
        <v>89</v>
      </c>
      <c r="B20" s="7" t="s">
        <v>286</v>
      </c>
      <c r="C20" s="5" t="s">
        <v>287</v>
      </c>
      <c r="D20" s="5" t="s">
        <v>288</v>
      </c>
      <c r="E20" s="5" t="s">
        <v>359</v>
      </c>
    </row>
    <row r="21" ht="15.75" customHeight="1">
      <c r="A21" s="7" t="s">
        <v>89</v>
      </c>
      <c r="B21" s="7" t="s">
        <v>293</v>
      </c>
      <c r="C21" s="5" t="s">
        <v>295</v>
      </c>
      <c r="D21" s="5" t="s">
        <v>45</v>
      </c>
      <c r="E21" s="5" t="s">
        <v>359</v>
      </c>
    </row>
    <row r="22" ht="15.75" customHeight="1">
      <c r="A22" s="7" t="s">
        <v>127</v>
      </c>
      <c r="B22" s="7" t="s">
        <v>313</v>
      </c>
      <c r="C22" s="5" t="s">
        <v>315</v>
      </c>
      <c r="D22" s="5" t="s">
        <v>45</v>
      </c>
      <c r="E22" s="5" t="s">
        <v>359</v>
      </c>
    </row>
    <row r="23" ht="15.75" customHeight="1">
      <c r="A23" s="7" t="s">
        <v>127</v>
      </c>
      <c r="B23" s="7" t="s">
        <v>321</v>
      </c>
      <c r="C23" s="5" t="s">
        <v>322</v>
      </c>
      <c r="D23" s="5" t="s">
        <v>323</v>
      </c>
      <c r="E23" s="5" t="s">
        <v>359</v>
      </c>
    </row>
    <row r="24" ht="15.75" customHeight="1">
      <c r="A24" s="7" t="s">
        <v>127</v>
      </c>
      <c r="B24" s="7" t="s">
        <v>325</v>
      </c>
      <c r="C24" s="5" t="s">
        <v>326</v>
      </c>
      <c r="D24" s="5" t="s">
        <v>327</v>
      </c>
      <c r="E24" s="5" t="s">
        <v>338</v>
      </c>
    </row>
    <row r="25" ht="15.75" customHeight="1">
      <c r="A25" s="7" t="s">
        <v>127</v>
      </c>
      <c r="B25" s="7" t="s">
        <v>350</v>
      </c>
      <c r="C25" s="5" t="s">
        <v>351</v>
      </c>
      <c r="D25" s="5" t="s">
        <v>352</v>
      </c>
      <c r="E25" s="5" t="s">
        <v>359</v>
      </c>
    </row>
    <row r="26" ht="15.75" customHeight="1">
      <c r="A26" s="7" t="s">
        <v>138</v>
      </c>
      <c r="B26" s="7" t="s">
        <v>399</v>
      </c>
      <c r="C26" s="5" t="s">
        <v>401</v>
      </c>
      <c r="D26" s="5" t="s">
        <v>45</v>
      </c>
      <c r="E26" s="5" t="s">
        <v>404</v>
      </c>
    </row>
    <row r="27" ht="15.75" customHeight="1">
      <c r="A27" s="7" t="s">
        <v>138</v>
      </c>
      <c r="B27" s="7" t="s">
        <v>407</v>
      </c>
      <c r="C27" s="5" t="s">
        <v>408</v>
      </c>
      <c r="D27" s="5" t="s">
        <v>409</v>
      </c>
      <c r="E27" s="5" t="s">
        <v>404</v>
      </c>
    </row>
    <row r="28" ht="15.75" customHeight="1">
      <c r="A28" s="7" t="s">
        <v>192</v>
      </c>
      <c r="B28" s="7" t="s">
        <v>412</v>
      </c>
      <c r="C28" s="5" t="s">
        <v>413</v>
      </c>
      <c r="D28" s="5" t="s">
        <v>415</v>
      </c>
      <c r="E28" s="5" t="s">
        <v>417</v>
      </c>
    </row>
    <row r="29" ht="15.75" customHeight="1">
      <c r="A29" s="7" t="s">
        <v>203</v>
      </c>
      <c r="B29" s="7" t="s">
        <v>419</v>
      </c>
      <c r="C29" s="5" t="s">
        <v>420</v>
      </c>
      <c r="D29" s="5" t="s">
        <v>421</v>
      </c>
      <c r="E29" s="5" t="s">
        <v>423</v>
      </c>
    </row>
    <row r="30" ht="15.75" customHeight="1">
      <c r="A30" s="7" t="s">
        <v>203</v>
      </c>
      <c r="B30" s="7" t="s">
        <v>425</v>
      </c>
      <c r="C30" s="5" t="s">
        <v>426</v>
      </c>
      <c r="D30" s="5" t="s">
        <v>428</v>
      </c>
      <c r="E30" s="5" t="s">
        <v>423</v>
      </c>
    </row>
    <row r="31" ht="15.75" customHeight="1">
      <c r="A31" s="7" t="s">
        <v>241</v>
      </c>
      <c r="B31" s="7" t="s">
        <v>430</v>
      </c>
      <c r="C31" s="5" t="s">
        <v>431</v>
      </c>
      <c r="D31" s="5" t="s">
        <v>432</v>
      </c>
      <c r="E31" s="5" t="s">
        <v>433</v>
      </c>
    </row>
    <row r="32" ht="15.75" customHeight="1">
      <c r="A32" s="7" t="s">
        <v>262</v>
      </c>
      <c r="B32" s="7" t="s">
        <v>434</v>
      </c>
      <c r="C32" s="5" t="s">
        <v>435</v>
      </c>
      <c r="D32" s="5" t="s">
        <v>436</v>
      </c>
      <c r="E32" s="5" t="s">
        <v>437</v>
      </c>
    </row>
    <row r="33" ht="15.75" customHeight="1">
      <c r="A33" s="7" t="s">
        <v>262</v>
      </c>
      <c r="B33" s="7" t="s">
        <v>438</v>
      </c>
      <c r="C33" s="5" t="s">
        <v>439</v>
      </c>
      <c r="D33" s="5" t="s">
        <v>440</v>
      </c>
      <c r="E33" s="5" t="s">
        <v>437</v>
      </c>
    </row>
    <row r="34" ht="15.75" customHeight="1">
      <c r="A34" s="7" t="s">
        <v>262</v>
      </c>
      <c r="B34" s="7" t="s">
        <v>442</v>
      </c>
      <c r="C34" s="5" t="s">
        <v>444</v>
      </c>
      <c r="D34" s="5" t="s">
        <v>446</v>
      </c>
      <c r="E34" s="5" t="s">
        <v>437</v>
      </c>
    </row>
    <row r="35" ht="15.75" customHeight="1">
      <c r="A35" s="7" t="s">
        <v>262</v>
      </c>
      <c r="B35" s="7" t="s">
        <v>449</v>
      </c>
      <c r="C35" s="5" t="s">
        <v>450</v>
      </c>
      <c r="D35" s="5" t="s">
        <v>451</v>
      </c>
      <c r="E35" s="5" t="s">
        <v>437</v>
      </c>
    </row>
    <row r="36" ht="15.75" customHeight="1">
      <c r="A36" s="7" t="s">
        <v>276</v>
      </c>
      <c r="B36" s="7" t="s">
        <v>453</v>
      </c>
      <c r="C36" s="5" t="s">
        <v>454</v>
      </c>
      <c r="D36" s="5" t="s">
        <v>45</v>
      </c>
      <c r="E36" s="5" t="s">
        <v>455</v>
      </c>
    </row>
    <row r="37" ht="15.75" customHeight="1">
      <c r="A37" s="7" t="s">
        <v>276</v>
      </c>
      <c r="B37" s="7" t="s">
        <v>456</v>
      </c>
      <c r="C37" s="5" t="s">
        <v>457</v>
      </c>
      <c r="D37" s="5" t="s">
        <v>458</v>
      </c>
      <c r="E37" s="5" t="s">
        <v>455</v>
      </c>
    </row>
    <row r="38" ht="15.75" customHeight="1">
      <c r="A38" s="7" t="s">
        <v>276</v>
      </c>
      <c r="B38" s="7" t="s">
        <v>460</v>
      </c>
      <c r="C38" s="5" t="s">
        <v>462</v>
      </c>
      <c r="D38" s="5" t="s">
        <v>464</v>
      </c>
      <c r="E38" s="5" t="s">
        <v>465</v>
      </c>
    </row>
    <row r="39" ht="15.75" customHeight="1">
      <c r="A39" s="7" t="s">
        <v>276</v>
      </c>
      <c r="B39" s="7" t="s">
        <v>467</v>
      </c>
      <c r="C39" s="5" t="s">
        <v>468</v>
      </c>
      <c r="D39" s="5" t="s">
        <v>469</v>
      </c>
      <c r="E39" s="5" t="s">
        <v>455</v>
      </c>
    </row>
    <row r="40" ht="15.75" customHeight="1">
      <c r="A40" s="7" t="s">
        <v>276</v>
      </c>
      <c r="B40" s="7" t="s">
        <v>472</v>
      </c>
      <c r="C40" s="5" t="s">
        <v>474</v>
      </c>
      <c r="D40" s="5" t="s">
        <v>475</v>
      </c>
      <c r="E40" s="5" t="s">
        <v>455</v>
      </c>
    </row>
    <row r="41" ht="15.75" customHeight="1">
      <c r="A41" s="7" t="s">
        <v>297</v>
      </c>
      <c r="B41" s="7" t="s">
        <v>478</v>
      </c>
      <c r="C41" s="5" t="s">
        <v>480</v>
      </c>
      <c r="D41" s="5" t="s">
        <v>482</v>
      </c>
      <c r="E41" s="5" t="s">
        <v>484</v>
      </c>
    </row>
    <row r="42" ht="15.75" customHeight="1">
      <c r="A42" s="7" t="s">
        <v>297</v>
      </c>
      <c r="B42" s="7" t="s">
        <v>490</v>
      </c>
      <c r="C42" s="5" t="s">
        <v>491</v>
      </c>
      <c r="D42" s="5" t="s">
        <v>494</v>
      </c>
      <c r="E42" s="5" t="s">
        <v>484</v>
      </c>
    </row>
    <row r="43" ht="15.75" customHeight="1">
      <c r="A43" s="7" t="s">
        <v>297</v>
      </c>
      <c r="B43" s="7" t="s">
        <v>496</v>
      </c>
      <c r="C43" s="5" t="s">
        <v>499</v>
      </c>
      <c r="D43" s="5" t="s">
        <v>500</v>
      </c>
      <c r="E43" s="5" t="s">
        <v>484</v>
      </c>
    </row>
    <row r="44" ht="15.75" customHeight="1">
      <c r="A44" s="7" t="s">
        <v>314</v>
      </c>
      <c r="B44" s="7" t="s">
        <v>504</v>
      </c>
      <c r="C44" s="5" t="s">
        <v>506</v>
      </c>
      <c r="D44" s="5" t="s">
        <v>45</v>
      </c>
      <c r="E44" s="5" t="s">
        <v>507</v>
      </c>
    </row>
    <row r="45" ht="15.75" customHeight="1">
      <c r="A45" s="7" t="s">
        <v>314</v>
      </c>
      <c r="B45" s="7" t="s">
        <v>508</v>
      </c>
      <c r="C45" s="5" t="s">
        <v>511</v>
      </c>
      <c r="D45" s="5" t="s">
        <v>513</v>
      </c>
      <c r="E45" s="5" t="s">
        <v>507</v>
      </c>
    </row>
    <row r="46" ht="15.75" customHeight="1">
      <c r="A46" s="7" t="s">
        <v>331</v>
      </c>
      <c r="B46" s="7" t="s">
        <v>514</v>
      </c>
      <c r="C46" s="5" t="s">
        <v>515</v>
      </c>
      <c r="D46" s="5" t="s">
        <v>45</v>
      </c>
      <c r="E46" s="5" t="s">
        <v>519</v>
      </c>
    </row>
    <row r="47" ht="15.75" customHeight="1">
      <c r="A47" s="7" t="s">
        <v>331</v>
      </c>
      <c r="B47" s="7" t="s">
        <v>525</v>
      </c>
      <c r="C47" s="5" t="s">
        <v>526</v>
      </c>
      <c r="D47" s="5" t="s">
        <v>527</v>
      </c>
      <c r="E47" s="5" t="s">
        <v>519</v>
      </c>
    </row>
    <row r="48" ht="15.75" customHeight="1">
      <c r="A48" s="7" t="s">
        <v>331</v>
      </c>
      <c r="B48" s="7" t="s">
        <v>528</v>
      </c>
      <c r="C48" s="5" t="s">
        <v>530</v>
      </c>
      <c r="D48" s="5" t="s">
        <v>532</v>
      </c>
      <c r="E48" s="5" t="s">
        <v>519</v>
      </c>
    </row>
    <row r="49" ht="15.75" customHeight="1">
      <c r="A49" s="7" t="s">
        <v>331</v>
      </c>
      <c r="B49" s="7" t="s">
        <v>535</v>
      </c>
      <c r="C49" s="5" t="s">
        <v>536</v>
      </c>
      <c r="D49" s="5" t="s">
        <v>537</v>
      </c>
      <c r="E49" s="5" t="s">
        <v>519</v>
      </c>
    </row>
    <row r="50" ht="15.75" customHeight="1">
      <c r="A50" s="7" t="s">
        <v>355</v>
      </c>
      <c r="B50" s="7" t="s">
        <v>539</v>
      </c>
      <c r="C50" s="5" t="s">
        <v>542</v>
      </c>
      <c r="D50" s="5" t="s">
        <v>544</v>
      </c>
      <c r="E50" s="5" t="s">
        <v>546</v>
      </c>
    </row>
    <row r="51" ht="15.75" customHeight="1">
      <c r="A51" s="7" t="s">
        <v>355</v>
      </c>
      <c r="B51" s="7" t="s">
        <v>549</v>
      </c>
      <c r="C51" s="5" t="s">
        <v>550</v>
      </c>
      <c r="D51" s="5" t="s">
        <v>551</v>
      </c>
      <c r="E51" s="5" t="s">
        <v>546</v>
      </c>
    </row>
    <row r="52" ht="15.75" customHeight="1">
      <c r="A52" s="7" t="s">
        <v>378</v>
      </c>
      <c r="B52" s="7" t="s">
        <v>553</v>
      </c>
      <c r="C52" s="5" t="s">
        <v>555</v>
      </c>
      <c r="D52" s="5" t="s">
        <v>45</v>
      </c>
      <c r="E52" s="5" t="s">
        <v>455</v>
      </c>
    </row>
    <row r="53" ht="15.75" customHeight="1">
      <c r="A53" s="7" t="s">
        <v>378</v>
      </c>
      <c r="B53" s="7" t="s">
        <v>558</v>
      </c>
      <c r="C53" s="5" t="s">
        <v>560</v>
      </c>
      <c r="D53" s="5" t="s">
        <v>562</v>
      </c>
      <c r="E53" s="5" t="s">
        <v>455</v>
      </c>
    </row>
    <row r="54" ht="15.75" customHeight="1">
      <c r="A54" s="7" t="s">
        <v>378</v>
      </c>
      <c r="B54" s="7" t="s">
        <v>567</v>
      </c>
      <c r="C54" s="5" t="s">
        <v>568</v>
      </c>
      <c r="D54" s="5" t="s">
        <v>570</v>
      </c>
      <c r="E54" s="5" t="s">
        <v>455</v>
      </c>
    </row>
    <row r="55" ht="15.75" customHeight="1">
      <c r="A55" s="7" t="s">
        <v>378</v>
      </c>
      <c r="B55" s="7" t="s">
        <v>572</v>
      </c>
      <c r="C55" s="5" t="s">
        <v>573</v>
      </c>
      <c r="D55" s="5" t="s">
        <v>574</v>
      </c>
      <c r="E55" s="5" t="s">
        <v>455</v>
      </c>
    </row>
    <row r="56" ht="15.75" customHeight="1">
      <c r="A56" s="7" t="s">
        <v>378</v>
      </c>
      <c r="B56" s="7" t="s">
        <v>577</v>
      </c>
      <c r="C56" s="5" t="s">
        <v>579</v>
      </c>
      <c r="D56" s="5" t="s">
        <v>580</v>
      </c>
      <c r="E56" s="5" t="s">
        <v>455</v>
      </c>
    </row>
    <row r="57" ht="15.75" customHeight="1">
      <c r="A57" s="7" t="s">
        <v>378</v>
      </c>
      <c r="B57" s="7" t="s">
        <v>584</v>
      </c>
      <c r="C57" s="5" t="s">
        <v>585</v>
      </c>
      <c r="D57" s="5" t="s">
        <v>475</v>
      </c>
      <c r="E57" s="5" t="s">
        <v>455</v>
      </c>
    </row>
    <row r="58" ht="15.75" customHeight="1">
      <c r="A58" s="7" t="s">
        <v>378</v>
      </c>
      <c r="B58" s="7" t="s">
        <v>587</v>
      </c>
      <c r="C58" s="5" t="s">
        <v>588</v>
      </c>
      <c r="D58" s="5" t="s">
        <v>591</v>
      </c>
      <c r="E58" s="5" t="s">
        <v>455</v>
      </c>
    </row>
    <row r="59" ht="15.75" customHeight="1">
      <c r="A59" s="7" t="s">
        <v>378</v>
      </c>
      <c r="B59" s="7" t="s">
        <v>593</v>
      </c>
      <c r="C59" s="5" t="s">
        <v>594</v>
      </c>
      <c r="D59" s="5" t="s">
        <v>596</v>
      </c>
      <c r="E59" s="5" t="s">
        <v>455</v>
      </c>
    </row>
    <row r="60" ht="15.75" customHeight="1">
      <c r="A60" s="7" t="s">
        <v>385</v>
      </c>
      <c r="B60" s="7" t="s">
        <v>599</v>
      </c>
      <c r="C60" s="5" t="s">
        <v>601</v>
      </c>
      <c r="D60" s="5" t="s">
        <v>45</v>
      </c>
      <c r="E60" s="5" t="s">
        <v>604</v>
      </c>
    </row>
    <row r="61" ht="15.75" customHeight="1">
      <c r="A61" s="7" t="s">
        <v>385</v>
      </c>
      <c r="B61" s="7" t="s">
        <v>606</v>
      </c>
      <c r="C61" s="5" t="s">
        <v>607</v>
      </c>
      <c r="D61" s="5" t="s">
        <v>608</v>
      </c>
      <c r="E61" s="5" t="s">
        <v>604</v>
      </c>
    </row>
    <row r="62" ht="15.75" customHeight="1">
      <c r="A62" s="7" t="s">
        <v>385</v>
      </c>
      <c r="B62" s="7" t="s">
        <v>609</v>
      </c>
      <c r="C62" s="5" t="s">
        <v>610</v>
      </c>
      <c r="D62" s="5" t="s">
        <v>611</v>
      </c>
      <c r="E62" s="5" t="s">
        <v>604</v>
      </c>
    </row>
    <row r="63" ht="15.75" customHeight="1">
      <c r="A63" s="7" t="s">
        <v>385</v>
      </c>
      <c r="B63" s="7" t="s">
        <v>612</v>
      </c>
      <c r="C63" s="5" t="s">
        <v>613</v>
      </c>
      <c r="D63" s="5" t="s">
        <v>614</v>
      </c>
      <c r="E63" s="5" t="s">
        <v>604</v>
      </c>
    </row>
    <row r="64" ht="15.75" customHeight="1">
      <c r="A64" s="7" t="s">
        <v>385</v>
      </c>
      <c r="B64" s="7" t="s">
        <v>615</v>
      </c>
      <c r="C64" s="5" t="s">
        <v>616</v>
      </c>
      <c r="D64" s="5" t="s">
        <v>617</v>
      </c>
      <c r="E64" s="5" t="s">
        <v>604</v>
      </c>
    </row>
    <row r="65" ht="15.75" customHeight="1">
      <c r="A65" s="7" t="s">
        <v>385</v>
      </c>
      <c r="B65" s="7" t="s">
        <v>618</v>
      </c>
      <c r="C65" s="5" t="s">
        <v>619</v>
      </c>
      <c r="D65" s="5" t="s">
        <v>620</v>
      </c>
      <c r="E65" s="5" t="s">
        <v>604</v>
      </c>
    </row>
    <row r="66" ht="15.75" customHeight="1">
      <c r="A66" s="7" t="s">
        <v>385</v>
      </c>
      <c r="B66" s="7" t="s">
        <v>624</v>
      </c>
      <c r="C66" s="5" t="s">
        <v>625</v>
      </c>
      <c r="D66" s="5" t="s">
        <v>627</v>
      </c>
      <c r="E66" s="5" t="s">
        <v>604</v>
      </c>
    </row>
    <row r="67" ht="15.75" customHeight="1">
      <c r="A67" s="7" t="s">
        <v>385</v>
      </c>
      <c r="B67" s="7" t="s">
        <v>629</v>
      </c>
      <c r="C67" s="5" t="s">
        <v>630</v>
      </c>
      <c r="D67" s="5" t="s">
        <v>632</v>
      </c>
      <c r="E67" s="5" t="s">
        <v>604</v>
      </c>
    </row>
    <row r="68" ht="15.75" customHeight="1">
      <c r="A68" s="7" t="s">
        <v>385</v>
      </c>
      <c r="B68" s="7" t="s">
        <v>635</v>
      </c>
      <c r="C68" s="5" t="s">
        <v>636</v>
      </c>
      <c r="D68" s="5" t="s">
        <v>637</v>
      </c>
      <c r="E68" s="5" t="s">
        <v>604</v>
      </c>
    </row>
    <row r="69" ht="15.75" customHeight="1">
      <c r="A69" s="7" t="s">
        <v>414</v>
      </c>
      <c r="B69" s="7" t="s">
        <v>638</v>
      </c>
      <c r="C69" s="5" t="s">
        <v>640</v>
      </c>
      <c r="D69" s="5" t="s">
        <v>45</v>
      </c>
      <c r="E69" s="5" t="s">
        <v>642</v>
      </c>
    </row>
    <row r="70" ht="15.75" customHeight="1">
      <c r="A70" s="7" t="s">
        <v>414</v>
      </c>
      <c r="B70" s="7" t="s">
        <v>644</v>
      </c>
      <c r="C70" s="5" t="s">
        <v>645</v>
      </c>
      <c r="D70" s="5" t="s">
        <v>646</v>
      </c>
      <c r="E70" s="5" t="s">
        <v>642</v>
      </c>
    </row>
    <row r="71" ht="15.75" customHeight="1">
      <c r="A71" s="7" t="s">
        <v>414</v>
      </c>
      <c r="B71" s="7" t="s">
        <v>651</v>
      </c>
      <c r="C71" s="5" t="s">
        <v>653</v>
      </c>
      <c r="D71" s="5" t="s">
        <v>656</v>
      </c>
      <c r="E71" s="5" t="s">
        <v>642</v>
      </c>
    </row>
    <row r="72" ht="15.75" customHeight="1">
      <c r="A72" s="7" t="s">
        <v>481</v>
      </c>
      <c r="B72" s="7" t="s">
        <v>657</v>
      </c>
      <c r="C72" s="5" t="s">
        <v>658</v>
      </c>
      <c r="D72" s="5" t="s">
        <v>45</v>
      </c>
      <c r="E72" s="5" t="s">
        <v>455</v>
      </c>
    </row>
    <row r="73" ht="15.75" customHeight="1">
      <c r="A73" s="7" t="s">
        <v>481</v>
      </c>
      <c r="B73" s="7" t="s">
        <v>661</v>
      </c>
      <c r="C73" s="5" t="s">
        <v>663</v>
      </c>
      <c r="D73" s="5" t="s">
        <v>664</v>
      </c>
      <c r="E73" s="5" t="s">
        <v>455</v>
      </c>
    </row>
    <row r="74" ht="15.75" customHeight="1">
      <c r="A74" s="7" t="s">
        <v>481</v>
      </c>
      <c r="B74" s="7" t="s">
        <v>665</v>
      </c>
      <c r="C74" s="5" t="s">
        <v>666</v>
      </c>
      <c r="D74" s="5" t="s">
        <v>667</v>
      </c>
      <c r="E74" s="5" t="s">
        <v>455</v>
      </c>
    </row>
    <row r="75" ht="15.75" customHeight="1">
      <c r="A75" s="7" t="s">
        <v>481</v>
      </c>
      <c r="B75" s="7" t="s">
        <v>670</v>
      </c>
      <c r="C75" s="5" t="s">
        <v>671</v>
      </c>
      <c r="D75" s="5" t="s">
        <v>673</v>
      </c>
      <c r="E75" s="5" t="s">
        <v>455</v>
      </c>
    </row>
    <row r="76" ht="15.75" customHeight="1">
      <c r="A76" s="7" t="s">
        <v>481</v>
      </c>
      <c r="B76" s="7" t="s">
        <v>675</v>
      </c>
      <c r="C76" s="5" t="s">
        <v>677</v>
      </c>
      <c r="D76" s="5" t="s">
        <v>679</v>
      </c>
      <c r="E76" s="5" t="s">
        <v>455</v>
      </c>
    </row>
    <row r="77" ht="15.75" customHeight="1">
      <c r="A77" s="7" t="s">
        <v>481</v>
      </c>
      <c r="B77" s="7" t="s">
        <v>684</v>
      </c>
      <c r="C77" s="5" t="s">
        <v>685</v>
      </c>
      <c r="D77" s="5" t="s">
        <v>686</v>
      </c>
      <c r="E77" s="5" t="s">
        <v>455</v>
      </c>
    </row>
    <row r="78" ht="15.75" customHeight="1">
      <c r="A78" s="7" t="s">
        <v>481</v>
      </c>
      <c r="B78" s="7" t="s">
        <v>688</v>
      </c>
      <c r="C78" s="5" t="s">
        <v>689</v>
      </c>
      <c r="D78" s="5" t="s">
        <v>690</v>
      </c>
      <c r="E78" s="5" t="s">
        <v>455</v>
      </c>
    </row>
    <row r="79" ht="15.75" customHeight="1">
      <c r="A79" s="7" t="s">
        <v>481</v>
      </c>
      <c r="B79" s="7" t="s">
        <v>693</v>
      </c>
      <c r="C79" s="5" t="s">
        <v>694</v>
      </c>
      <c r="D79" s="5" t="s">
        <v>695</v>
      </c>
      <c r="E79" s="5" t="s">
        <v>455</v>
      </c>
    </row>
    <row r="80" ht="15.75" customHeight="1">
      <c r="A80" s="7" t="s">
        <v>501</v>
      </c>
      <c r="B80" s="7" t="s">
        <v>697</v>
      </c>
      <c r="C80" s="5" t="s">
        <v>699</v>
      </c>
      <c r="D80" s="5" t="s">
        <v>45</v>
      </c>
      <c r="E80" s="5" t="s">
        <v>700</v>
      </c>
    </row>
    <row r="81" ht="15.75" customHeight="1">
      <c r="A81" s="7" t="s">
        <v>501</v>
      </c>
      <c r="B81" s="7" t="s">
        <v>707</v>
      </c>
      <c r="C81" s="5" t="s">
        <v>708</v>
      </c>
      <c r="D81" s="5" t="s">
        <v>709</v>
      </c>
      <c r="E81" s="5" t="s">
        <v>700</v>
      </c>
    </row>
    <row r="82" ht="15.75" customHeight="1">
      <c r="A82" s="7" t="s">
        <v>501</v>
      </c>
      <c r="B82" s="7" t="s">
        <v>710</v>
      </c>
      <c r="C82" s="5" t="s">
        <v>711</v>
      </c>
      <c r="D82" s="5" t="s">
        <v>712</v>
      </c>
      <c r="E82" s="5" t="s">
        <v>700</v>
      </c>
    </row>
    <row r="83" ht="15.75" customHeight="1">
      <c r="A83" s="7" t="s">
        <v>545</v>
      </c>
      <c r="B83" s="7" t="s">
        <v>713</v>
      </c>
      <c r="C83" s="5" t="s">
        <v>714</v>
      </c>
      <c r="D83" s="5" t="s">
        <v>45</v>
      </c>
      <c r="E83" s="5" t="s">
        <v>715</v>
      </c>
    </row>
    <row r="84" ht="15.75" customHeight="1">
      <c r="A84" s="7" t="s">
        <v>545</v>
      </c>
      <c r="B84" s="7" t="s">
        <v>716</v>
      </c>
      <c r="C84" s="5" t="s">
        <v>717</v>
      </c>
      <c r="D84" s="5" t="s">
        <v>718</v>
      </c>
      <c r="E84" s="5" t="s">
        <v>715</v>
      </c>
    </row>
    <row r="85" ht="15.75" customHeight="1">
      <c r="A85" s="7" t="s">
        <v>545</v>
      </c>
      <c r="B85" s="7" t="s">
        <v>722</v>
      </c>
      <c r="C85" s="5" t="s">
        <v>724</v>
      </c>
      <c r="D85" s="5" t="s">
        <v>727</v>
      </c>
      <c r="E85" s="5" t="s">
        <v>715</v>
      </c>
    </row>
    <row r="86" ht="15.75" customHeight="1">
      <c r="A86" s="7" t="s">
        <v>545</v>
      </c>
      <c r="B86" s="7" t="s">
        <v>730</v>
      </c>
      <c r="C86" s="5" t="s">
        <v>731</v>
      </c>
      <c r="D86" s="5" t="s">
        <v>733</v>
      </c>
      <c r="E86" s="5" t="s">
        <v>715</v>
      </c>
    </row>
    <row r="87" ht="15.75" customHeight="1">
      <c r="A87" s="7" t="s">
        <v>545</v>
      </c>
      <c r="B87" s="7" t="s">
        <v>734</v>
      </c>
      <c r="C87" s="5" t="s">
        <v>735</v>
      </c>
      <c r="D87" s="5" t="s">
        <v>737</v>
      </c>
      <c r="E87" s="5" t="s">
        <v>715</v>
      </c>
    </row>
    <row r="88" ht="15.75" customHeight="1">
      <c r="A88" s="7" t="s">
        <v>545</v>
      </c>
      <c r="B88" s="7" t="s">
        <v>740</v>
      </c>
      <c r="C88" s="5" t="s">
        <v>741</v>
      </c>
      <c r="D88" s="5" t="s">
        <v>743</v>
      </c>
      <c r="E88" s="5" t="s">
        <v>715</v>
      </c>
    </row>
    <row r="89" ht="15.75" customHeight="1">
      <c r="A89" s="7" t="s">
        <v>545</v>
      </c>
      <c r="B89" s="7" t="s">
        <v>744</v>
      </c>
      <c r="C89" s="5" t="s">
        <v>745</v>
      </c>
      <c r="D89" s="5" t="s">
        <v>746</v>
      </c>
      <c r="E89" s="5" t="s">
        <v>715</v>
      </c>
    </row>
    <row r="90" ht="15.75" customHeight="1">
      <c r="A90" s="7" t="s">
        <v>545</v>
      </c>
      <c r="B90" s="7" t="s">
        <v>748</v>
      </c>
      <c r="C90" s="5" t="s">
        <v>749</v>
      </c>
      <c r="D90" s="5" t="s">
        <v>751</v>
      </c>
      <c r="E90" s="5" t="s">
        <v>715</v>
      </c>
    </row>
    <row r="91" ht="15.75" customHeight="1">
      <c r="A91" s="7" t="s">
        <v>545</v>
      </c>
      <c r="B91" s="7" t="s">
        <v>753</v>
      </c>
      <c r="C91" s="5" t="s">
        <v>755</v>
      </c>
      <c r="D91" s="5" t="s">
        <v>757</v>
      </c>
      <c r="E91" s="5" t="s">
        <v>715</v>
      </c>
    </row>
    <row r="92" ht="15.75" customHeight="1">
      <c r="A92" s="7" t="s">
        <v>545</v>
      </c>
      <c r="B92" s="7" t="s">
        <v>759</v>
      </c>
      <c r="C92" s="5" t="s">
        <v>761</v>
      </c>
      <c r="D92" s="5" t="s">
        <v>763</v>
      </c>
      <c r="E92" s="5" t="s">
        <v>715</v>
      </c>
    </row>
    <row r="93" ht="15.75" customHeight="1">
      <c r="A93" s="7" t="s">
        <v>545</v>
      </c>
      <c r="B93" s="7" t="s">
        <v>767</v>
      </c>
      <c r="C93" s="5" t="s">
        <v>768</v>
      </c>
      <c r="D93" s="5" t="s">
        <v>769</v>
      </c>
      <c r="E93" s="5" t="s">
        <v>715</v>
      </c>
    </row>
    <row r="94" ht="15.75" customHeight="1">
      <c r="A94" s="7" t="s">
        <v>561</v>
      </c>
      <c r="B94" s="7" t="s">
        <v>772</v>
      </c>
      <c r="C94" s="5" t="s">
        <v>774</v>
      </c>
      <c r="D94" s="5" t="s">
        <v>45</v>
      </c>
      <c r="E94" s="5" t="s">
        <v>642</v>
      </c>
    </row>
    <row r="95" ht="15.75" customHeight="1">
      <c r="A95" s="7" t="s">
        <v>561</v>
      </c>
      <c r="B95" s="7" t="s">
        <v>777</v>
      </c>
      <c r="C95" s="5" t="s">
        <v>780</v>
      </c>
      <c r="D95" s="5" t="s">
        <v>783</v>
      </c>
      <c r="E95" s="5" t="s">
        <v>642</v>
      </c>
    </row>
    <row r="96" ht="15.75" customHeight="1">
      <c r="A96" s="7" t="s">
        <v>561</v>
      </c>
      <c r="B96" s="7" t="s">
        <v>785</v>
      </c>
      <c r="C96" s="5" t="s">
        <v>786</v>
      </c>
      <c r="D96" s="5" t="s">
        <v>787</v>
      </c>
      <c r="E96" s="5" t="s">
        <v>642</v>
      </c>
    </row>
    <row r="97" ht="15.75" customHeight="1">
      <c r="A97" s="7" t="s">
        <v>561</v>
      </c>
      <c r="B97" s="7" t="s">
        <v>788</v>
      </c>
      <c r="C97" s="5" t="s">
        <v>790</v>
      </c>
      <c r="D97" s="5" t="s">
        <v>792</v>
      </c>
      <c r="E97" s="5" t="s">
        <v>642</v>
      </c>
    </row>
    <row r="98" ht="15.75" customHeight="1">
      <c r="A98" s="7" t="s">
        <v>561</v>
      </c>
      <c r="B98" s="7" t="s">
        <v>793</v>
      </c>
      <c r="C98" s="5" t="s">
        <v>795</v>
      </c>
      <c r="D98" s="5" t="s">
        <v>796</v>
      </c>
      <c r="E98" s="5" t="s">
        <v>642</v>
      </c>
    </row>
    <row r="99" ht="15.75" customHeight="1">
      <c r="A99" s="7" t="s">
        <v>561</v>
      </c>
      <c r="B99" s="7" t="s">
        <v>798</v>
      </c>
      <c r="C99" s="5" t="s">
        <v>800</v>
      </c>
      <c r="D99" s="5" t="s">
        <v>804</v>
      </c>
      <c r="E99" s="5" t="s">
        <v>642</v>
      </c>
    </row>
    <row r="100" ht="15.75" customHeight="1">
      <c r="A100" s="7" t="s">
        <v>561</v>
      </c>
      <c r="B100" s="7" t="s">
        <v>807</v>
      </c>
      <c r="C100" s="5" t="s">
        <v>808</v>
      </c>
      <c r="D100" s="5" t="s">
        <v>809</v>
      </c>
      <c r="E100" s="5" t="s">
        <v>642</v>
      </c>
    </row>
    <row r="101" ht="15.75" customHeight="1">
      <c r="A101" s="7" t="s">
        <v>561</v>
      </c>
      <c r="B101" s="7" t="s">
        <v>810</v>
      </c>
      <c r="C101" s="5" t="s">
        <v>711</v>
      </c>
      <c r="D101" s="5" t="s">
        <v>812</v>
      </c>
      <c r="E101" s="5" t="s">
        <v>642</v>
      </c>
    </row>
    <row r="102" ht="15.75" customHeight="1">
      <c r="A102" s="7" t="s">
        <v>581</v>
      </c>
      <c r="B102" s="7" t="s">
        <v>815</v>
      </c>
      <c r="C102" s="5" t="s">
        <v>816</v>
      </c>
      <c r="D102" s="5" t="s">
        <v>45</v>
      </c>
      <c r="E102" s="5" t="s">
        <v>484</v>
      </c>
    </row>
    <row r="103" ht="15.75" customHeight="1">
      <c r="A103" s="7" t="s">
        <v>581</v>
      </c>
      <c r="B103" s="7" t="s">
        <v>817</v>
      </c>
      <c r="C103" s="5" t="s">
        <v>819</v>
      </c>
      <c r="D103" s="5" t="s">
        <v>821</v>
      </c>
      <c r="E103" s="5" t="s">
        <v>484</v>
      </c>
    </row>
    <row r="104" ht="15.75" customHeight="1">
      <c r="A104" s="7" t="s">
        <v>581</v>
      </c>
      <c r="B104" s="7" t="s">
        <v>825</v>
      </c>
      <c r="C104" s="5" t="s">
        <v>826</v>
      </c>
      <c r="D104" s="5" t="s">
        <v>828</v>
      </c>
      <c r="E104" s="5" t="s">
        <v>830</v>
      </c>
    </row>
    <row r="105" ht="15.75" customHeight="1">
      <c r="A105" s="7" t="s">
        <v>581</v>
      </c>
      <c r="B105" s="7" t="s">
        <v>831</v>
      </c>
      <c r="C105" s="5" t="s">
        <v>833</v>
      </c>
      <c r="D105" s="5" t="s">
        <v>835</v>
      </c>
      <c r="E105" s="5" t="s">
        <v>836</v>
      </c>
    </row>
    <row r="106" ht="15.75" customHeight="1">
      <c r="A106" s="7" t="s">
        <v>581</v>
      </c>
      <c r="B106" s="7" t="s">
        <v>838</v>
      </c>
      <c r="C106" s="5" t="s">
        <v>839</v>
      </c>
      <c r="D106" s="5" t="s">
        <v>840</v>
      </c>
      <c r="E106" s="5" t="s">
        <v>484</v>
      </c>
    </row>
    <row r="107" ht="15.75" customHeight="1">
      <c r="A107" s="7" t="s">
        <v>581</v>
      </c>
      <c r="B107" s="7" t="s">
        <v>841</v>
      </c>
      <c r="C107" s="5" t="s">
        <v>842</v>
      </c>
      <c r="D107" s="5" t="s">
        <v>844</v>
      </c>
      <c r="E107" s="5" t="s">
        <v>484</v>
      </c>
    </row>
    <row r="108" ht="15.75" customHeight="1">
      <c r="A108" s="7" t="s">
        <v>581</v>
      </c>
      <c r="B108" s="7" t="s">
        <v>847</v>
      </c>
      <c r="C108" s="5" t="s">
        <v>849</v>
      </c>
      <c r="D108" s="5" t="s">
        <v>852</v>
      </c>
      <c r="E108" s="5" t="s">
        <v>484</v>
      </c>
    </row>
    <row r="109" ht="15.75" customHeight="1">
      <c r="A109" s="7" t="s">
        <v>581</v>
      </c>
      <c r="B109" s="7" t="s">
        <v>857</v>
      </c>
      <c r="C109" s="5" t="s">
        <v>711</v>
      </c>
      <c r="D109" s="5" t="s">
        <v>859</v>
      </c>
      <c r="E109" s="5" t="s">
        <v>484</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09"/>
  <printOptions/>
  <pageMargins bottom="1.0" footer="0.0" header="0.0" left="0.75" right="0.75" top="1.0"/>
  <pageSetup paperSize="9" orientation="portrait"/>
  <drawing r:id="rId1"/>
</worksheet>
</file>